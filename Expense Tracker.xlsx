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.docs.live.net/ca7c14d491f0175c/Documents/Excel Sheets/"/>
    </mc:Choice>
  </mc:AlternateContent>
  <xr:revisionPtr revIDLastSave="519" documentId="13_ncr:1_{597871D2-019C-46AF-BC74-18BAD622F6B6}" xr6:coauthVersionLast="47" xr6:coauthVersionMax="47" xr10:uidLastSave="{3E86A725-09C7-46D7-A7C6-D5E381302E46}"/>
  <bookViews>
    <workbookView xWindow="-156" yWindow="-156" windowWidth="23352" windowHeight="12552" firstSheet="1" activeTab="1" xr2:uid="{00000000-000D-0000-FFFF-FFFF00000000}"/>
  </bookViews>
  <sheets>
    <sheet name="Dashboard bkp" sheetId="1" state="hidden" r:id="rId1"/>
    <sheet name="Dashboard" sheetId="3" r:id="rId2"/>
    <sheet name="Database bkp" sheetId="6" state="hidden" r:id="rId3"/>
    <sheet name="Databas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6" l="1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2" i="5"/>
  <c r="M43" i="5"/>
  <c r="M44" i="5"/>
  <c r="M45" i="5"/>
  <c r="M46" i="5"/>
  <c r="M47" i="5"/>
  <c r="M48" i="5"/>
  <c r="M49" i="5"/>
  <c r="M50" i="5"/>
  <c r="M51" i="5"/>
  <c r="M52" i="5"/>
  <c r="M41" i="5"/>
  <c r="M53" i="5"/>
  <c r="M54" i="5"/>
  <c r="M55" i="5"/>
  <c r="M56" i="5"/>
  <c r="M57" i="5"/>
  <c r="M58" i="5"/>
  <c r="M16" i="3"/>
  <c r="M17" i="3"/>
  <c r="M18" i="3"/>
  <c r="N15" i="3"/>
  <c r="O4" i="3"/>
  <c r="K4" i="3"/>
  <c r="H4" i="3"/>
  <c r="O14" i="3"/>
  <c r="N14" i="3"/>
  <c r="O8" i="3"/>
  <c r="M11" i="3"/>
  <c r="M14" i="3"/>
  <c r="M15" i="3"/>
  <c r="F13" i="3"/>
  <c r="O9" i="3"/>
  <c r="O10" i="3"/>
  <c r="O11" i="3"/>
  <c r="O12" i="3"/>
  <c r="O13" i="3"/>
  <c r="O15" i="3"/>
  <c r="O16" i="3"/>
  <c r="O17" i="3"/>
  <c r="O18" i="3"/>
  <c r="O19" i="3"/>
  <c r="N9" i="3"/>
  <c r="N10" i="3"/>
  <c r="N11" i="3"/>
  <c r="N12" i="3"/>
  <c r="N13" i="3"/>
  <c r="N16" i="3"/>
  <c r="N17" i="3"/>
  <c r="N18" i="3"/>
  <c r="N19" i="3"/>
  <c r="N8" i="3"/>
  <c r="M10" i="3"/>
  <c r="M12" i="3"/>
  <c r="M13" i="3"/>
  <c r="M19" i="3"/>
  <c r="L9" i="3"/>
  <c r="L10" i="3"/>
  <c r="L11" i="3"/>
  <c r="L12" i="3"/>
  <c r="L13" i="3"/>
  <c r="L14" i="3"/>
  <c r="L15" i="3"/>
  <c r="L16" i="3"/>
  <c r="L17" i="3"/>
  <c r="L18" i="3"/>
  <c r="L19" i="3"/>
  <c r="L8" i="3"/>
  <c r="K9" i="3"/>
  <c r="K10" i="3"/>
  <c r="K11" i="3"/>
  <c r="K12" i="3"/>
  <c r="K13" i="3"/>
  <c r="K14" i="3"/>
  <c r="K15" i="3"/>
  <c r="K16" i="3"/>
  <c r="K17" i="3"/>
  <c r="K18" i="3"/>
  <c r="K19" i="3"/>
  <c r="K8" i="3"/>
  <c r="J9" i="3"/>
  <c r="J10" i="3"/>
  <c r="J11" i="3"/>
  <c r="J12" i="3"/>
  <c r="J13" i="3"/>
  <c r="J14" i="3"/>
  <c r="J15" i="3"/>
  <c r="J16" i="3"/>
  <c r="J17" i="3"/>
  <c r="J18" i="3"/>
  <c r="J19" i="3"/>
  <c r="J8" i="3"/>
  <c r="I9" i="3"/>
  <c r="I10" i="3"/>
  <c r="I11" i="3"/>
  <c r="I12" i="3"/>
  <c r="I13" i="3"/>
  <c r="I14" i="3"/>
  <c r="I15" i="3"/>
  <c r="I16" i="3"/>
  <c r="I17" i="3"/>
  <c r="I18" i="3"/>
  <c r="I19" i="3"/>
  <c r="I8" i="3"/>
  <c r="H9" i="3"/>
  <c r="H10" i="3"/>
  <c r="H11" i="3"/>
  <c r="H12" i="3"/>
  <c r="H13" i="3"/>
  <c r="H14" i="3"/>
  <c r="H15" i="3"/>
  <c r="H16" i="3"/>
  <c r="H17" i="3"/>
  <c r="H18" i="3"/>
  <c r="H19" i="3"/>
  <c r="H8" i="3"/>
  <c r="G9" i="3"/>
  <c r="G10" i="3"/>
  <c r="G11" i="3"/>
  <c r="G12" i="3"/>
  <c r="G13" i="3"/>
  <c r="G14" i="3"/>
  <c r="G15" i="3"/>
  <c r="G16" i="3"/>
  <c r="G17" i="3"/>
  <c r="G18" i="3"/>
  <c r="G19" i="3"/>
  <c r="G8" i="3"/>
  <c r="F9" i="3"/>
  <c r="F10" i="3"/>
  <c r="F11" i="3"/>
  <c r="F12" i="3"/>
  <c r="F14" i="3"/>
  <c r="F15" i="3"/>
  <c r="F16" i="3"/>
  <c r="F17" i="3"/>
  <c r="F18" i="3"/>
  <c r="F19" i="3"/>
  <c r="F8" i="3"/>
  <c r="E9" i="3"/>
  <c r="E10" i="3"/>
  <c r="E11" i="3"/>
  <c r="E12" i="3"/>
  <c r="E13" i="3"/>
  <c r="E14" i="3"/>
  <c r="E15" i="3"/>
  <c r="E16" i="3"/>
  <c r="E17" i="3"/>
  <c r="E18" i="3"/>
  <c r="E19" i="3"/>
  <c r="E8" i="3"/>
  <c r="D9" i="3"/>
  <c r="D10" i="3"/>
  <c r="D11" i="3"/>
  <c r="D12" i="3"/>
  <c r="D13" i="3"/>
  <c r="D14" i="3"/>
  <c r="D15" i="3"/>
  <c r="D16" i="3"/>
  <c r="D17" i="3"/>
  <c r="D18" i="3"/>
  <c r="D19" i="3"/>
  <c r="D8" i="3"/>
  <c r="C9" i="3"/>
  <c r="C10" i="3"/>
  <c r="C11" i="3"/>
  <c r="C12" i="3"/>
  <c r="C13" i="3"/>
  <c r="C14" i="3"/>
  <c r="C15" i="3"/>
  <c r="C16" i="3"/>
  <c r="C17" i="3"/>
  <c r="C18" i="3"/>
  <c r="C19" i="3"/>
  <c r="A9" i="3"/>
  <c r="P9" i="3" s="1"/>
  <c r="A10" i="3"/>
  <c r="P10" i="3" s="1"/>
  <c r="A11" i="3"/>
  <c r="P11" i="3" s="1"/>
  <c r="A12" i="3"/>
  <c r="P12" i="3" s="1"/>
  <c r="A13" i="3"/>
  <c r="P13" i="3" s="1"/>
  <c r="A14" i="3"/>
  <c r="A15" i="3"/>
  <c r="P15" i="3" s="1"/>
  <c r="A16" i="3"/>
  <c r="P16" i="3" s="1"/>
  <c r="A17" i="3"/>
  <c r="P17" i="3" s="1"/>
  <c r="A18" i="3"/>
  <c r="P18" i="3" s="1"/>
  <c r="A19" i="3"/>
  <c r="P19" i="3" s="1"/>
  <c r="A8" i="3"/>
  <c r="P8" i="3" s="1"/>
  <c r="E4" i="1"/>
  <c r="C21" i="1"/>
  <c r="N21" i="1"/>
  <c r="M21" i="1"/>
  <c r="K21" i="1"/>
  <c r="J21" i="1"/>
  <c r="I21" i="1"/>
  <c r="H21" i="1"/>
  <c r="G21" i="1"/>
  <c r="F21" i="1"/>
  <c r="E21" i="1"/>
  <c r="D21" i="1"/>
  <c r="L21" i="1"/>
  <c r="M9" i="3" l="1"/>
  <c r="E4" i="3"/>
  <c r="C4" i="3"/>
  <c r="K20" i="3"/>
  <c r="M8" i="3"/>
  <c r="M20" i="3" s="1"/>
  <c r="C8" i="3"/>
  <c r="C20" i="3" s="1"/>
  <c r="N20" i="3"/>
  <c r="H20" i="3"/>
  <c r="L20" i="3"/>
  <c r="O20" i="3"/>
  <c r="J20" i="3"/>
  <c r="I20" i="3"/>
  <c r="G20" i="3"/>
  <c r="F20" i="3"/>
  <c r="E20" i="3"/>
  <c r="D20" i="3"/>
  <c r="P20" i="3" l="1"/>
</calcChain>
</file>

<file path=xl/sharedStrings.xml><?xml version="1.0" encoding="utf-8"?>
<sst xmlns="http://schemas.openxmlformats.org/spreadsheetml/2006/main" count="327" uniqueCount="41">
  <si>
    <t xml:space="preserve"> Personal Finance Dashboard 2026</t>
  </si>
  <si>
    <t>Total Expense</t>
  </si>
  <si>
    <t>Monthly Average Expense</t>
  </si>
  <si>
    <t>Personal Savings</t>
  </si>
  <si>
    <t>Investment Savings</t>
  </si>
  <si>
    <t>EXPENSES</t>
  </si>
  <si>
    <t>SAVINGS</t>
  </si>
  <si>
    <t>Year</t>
  </si>
  <si>
    <t>Month</t>
  </si>
  <si>
    <t>Home Rent</t>
  </si>
  <si>
    <t>Transport</t>
  </si>
  <si>
    <t>Shopping</t>
  </si>
  <si>
    <t xml:space="preserve">Office </t>
  </si>
  <si>
    <t>Bills</t>
  </si>
  <si>
    <t>Insurance</t>
  </si>
  <si>
    <t>Medical</t>
  </si>
  <si>
    <t>Fitness</t>
  </si>
  <si>
    <t>Misc</t>
  </si>
  <si>
    <t>Total Spent</t>
  </si>
  <si>
    <t xml:space="preserve">Investments </t>
  </si>
  <si>
    <t>Personal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</si>
  <si>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</si>
  <si>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</si>
  <si>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</si>
  <si>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</si>
  <si>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</si>
  <si>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</si>
  <si>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</si>
  <si>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</si>
  <si>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</si>
  <si>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</si>
  <si>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</si>
  <si>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</si>
  <si>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Total</t>
  </si>
  <si>
    <t xml:space="preserve"> Personal Finance Dashboard </t>
  </si>
  <si>
    <t>Monthly Avg Expense</t>
  </si>
  <si>
    <t>Total Savings</t>
  </si>
  <si>
    <t>Travel</t>
  </si>
  <si>
    <t>Investment</t>
  </si>
  <si>
    <t>⚠️Make entry in database and not dashboard</t>
  </si>
  <si>
    <t>Expense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</si>
</sst>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&quot;₹&quot;\ #,##0.00"/>
    <numFmt numFmtId="166" formatCode="&quot;₹&quot;\ #,##0"/>
    <numFmt numFmtId="167" formatCode="[$₹-439]\ ###,##0"/>
  </numFmts>
  <fonts count="2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FFFFFF"/>
      <name val="Britannic Bold"/>
      <family val="2"/>
    </font>
    <font>
      <b/>
      <sz val="11"/>
      <color theme="0"/>
      <name val="Bahnschrift"/>
      <family val="2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FF0000"/>
      <name val="Calibri"/>
      <family val="2"/>
    </font>
    <font>
      <b/>
      <sz val="20"/>
      <color theme="3" tint="-0.499984740745262"/>
      <name val="Bahnschrift"/>
      <family val="2"/>
    </font>
    <font>
      <b/>
      <sz val="12"/>
      <color theme="0"/>
      <name val="Bahnschrift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/>
      <top style="medium">
        <color theme="1"/>
      </top>
      <bottom style="thin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/>
      <top style="medium">
        <color rgb="FF000000"/>
      </top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39">
    <xf numFmtId="0" fontId="0" fillId="0" borderId="0" xfId="0"/>
    <xf numFmtId="3" fontId="0" fillId="0" borderId="0" xfId="0" applyNumberFormat="1"/>
    <xf numFmtId="3" fontId="10" fillId="5" borderId="0" xfId="0" applyNumberFormat="1" applyFont="1" applyFill="1"/>
    <xf numFmtId="3" fontId="11" fillId="6" borderId="0" xfId="1" applyNumberFormat="1" applyFont="1" applyFill="1" applyBorder="1" applyAlignment="1">
      <alignment horizontal="left" vertical="center"/>
    </xf>
    <xf numFmtId="3" fontId="12" fillId="6" borderId="0" xfId="1" applyNumberFormat="1" applyFont="1" applyFill="1" applyBorder="1" applyAlignment="1">
      <alignment horizontal="left"/>
    </xf>
    <xf numFmtId="3" fontId="2" fillId="0" borderId="0" xfId="1" applyNumberFormat="1" applyFont="1" applyFill="1" applyBorder="1" applyAlignment="1">
      <alignment vertical="center"/>
    </xf>
    <xf numFmtId="3" fontId="0" fillId="0" borderId="0" xfId="1" applyNumberFormat="1" applyFont="1" applyFill="1" applyBorder="1" applyAlignment="1">
      <alignment horizontal="left"/>
    </xf>
    <xf numFmtId="3" fontId="0" fillId="0" borderId="0" xfId="1" applyNumberFormat="1" applyFont="1" applyFill="1"/>
    <xf numFmtId="3" fontId="5" fillId="4" borderId="4" xfId="1" applyNumberFormat="1" applyFont="1" applyFill="1" applyBorder="1" applyAlignment="1">
      <alignment horizontal="center"/>
    </xf>
    <xf numFmtId="3" fontId="0" fillId="0" borderId="6" xfId="0" applyNumberFormat="1" applyBorder="1"/>
    <xf numFmtId="3" fontId="1" fillId="5" borderId="8" xfId="1" applyNumberFormat="1" applyFont="1" applyFill="1" applyBorder="1" applyAlignment="1">
      <alignment horizontal="center"/>
    </xf>
    <xf numFmtId="3" fontId="1" fillId="5" borderId="0" xfId="1" applyNumberFormat="1" applyFont="1" applyFill="1" applyAlignment="1">
      <alignment horizontal="center"/>
    </xf>
    <xf numFmtId="3" fontId="1" fillId="5" borderId="9" xfId="1" applyNumberFormat="1" applyFont="1" applyFill="1" applyBorder="1" applyAlignment="1">
      <alignment horizontal="center"/>
    </xf>
    <xf numFmtId="3" fontId="1" fillId="5" borderId="10" xfId="1" applyNumberFormat="1" applyFont="1" applyFill="1" applyBorder="1" applyAlignment="1">
      <alignment horizontal="center"/>
    </xf>
    <xf numFmtId="3" fontId="6" fillId="2" borderId="7" xfId="1" applyNumberFormat="1" applyFont="1" applyFill="1" applyBorder="1"/>
    <xf numFmtId="3" fontId="0" fillId="8" borderId="0" xfId="1" applyNumberFormat="1" applyFont="1" applyFill="1"/>
    <xf numFmtId="3" fontId="0" fillId="2" borderId="0" xfId="1" applyNumberFormat="1" applyFont="1" applyFill="1"/>
    <xf numFmtId="3" fontId="6" fillId="2" borderId="0" xfId="1" applyNumberFormat="1" applyFont="1" applyFill="1"/>
    <xf numFmtId="3" fontId="6" fillId="2" borderId="10" xfId="1" applyNumberFormat="1" applyFont="1" applyFill="1" applyBorder="1"/>
    <xf numFmtId="3" fontId="3" fillId="7" borderId="2" xfId="1" applyNumberFormat="1" applyFont="1" applyFill="1" applyBorder="1"/>
    <xf numFmtId="3" fontId="8" fillId="0" borderId="0" xfId="0" applyNumberFormat="1" applyFont="1"/>
    <xf numFmtId="3" fontId="5" fillId="4" borderId="2" xfId="1" applyNumberFormat="1" applyFont="1" applyFill="1" applyBorder="1" applyAlignment="1">
      <alignment horizontal="center"/>
    </xf>
    <xf numFmtId="0" fontId="6" fillId="8" borderId="0" xfId="1" applyNumberFormat="1" applyFont="1" applyFill="1" applyBorder="1" applyAlignment="1">
      <alignment horizontal="center"/>
    </xf>
    <xf numFmtId="0" fontId="6" fillId="8" borderId="10" xfId="1" applyNumberFormat="1" applyFont="1" applyFill="1" applyBorder="1" applyAlignment="1">
      <alignment horizontal="center"/>
    </xf>
    <xf numFmtId="3" fontId="0" fillId="6" borderId="0" xfId="0" applyNumberFormat="1" applyFill="1"/>
    <xf numFmtId="3" fontId="0" fillId="5" borderId="0" xfId="0" applyNumberFormat="1" applyFill="1"/>
    <xf numFmtId="0" fontId="0" fillId="0" borderId="0" xfId="0" applyAlignment="1">
      <alignment horizontal="left"/>
    </xf>
    <xf numFmtId="0" fontId="7" fillId="4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3" fontId="6" fillId="2" borderId="7" xfId="1" applyNumberFormat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2" borderId="10" xfId="1" applyNumberFormat="1" applyFont="1" applyFill="1" applyBorder="1" applyAlignment="1">
      <alignment horizontal="center"/>
    </xf>
    <xf numFmtId="3" fontId="0" fillId="8" borderId="0" xfId="1" applyNumberFormat="1" applyFont="1" applyFill="1" applyAlignment="1">
      <alignment horizontal="center"/>
    </xf>
    <xf numFmtId="3" fontId="0" fillId="2" borderId="0" xfId="1" applyNumberFormat="1" applyFont="1" applyFill="1" applyAlignment="1">
      <alignment horizontal="center"/>
    </xf>
    <xf numFmtId="165" fontId="14" fillId="6" borderId="0" xfId="1" applyNumberFormat="1" applyFont="1" applyFill="1" applyBorder="1" applyAlignment="1">
      <alignment horizontal="center" vertical="top"/>
    </xf>
    <xf numFmtId="3" fontId="1" fillId="5" borderId="1" xfId="1" applyNumberFormat="1" applyFont="1" applyFill="1" applyBorder="1" applyAlignment="1">
      <alignment horizontal="center"/>
    </xf>
    <xf numFmtId="3" fontId="0" fillId="8" borderId="6" xfId="1" applyNumberFormat="1" applyFont="1" applyFill="1" applyBorder="1" applyAlignment="1">
      <alignment horizontal="center"/>
    </xf>
    <xf numFmtId="3" fontId="5" fillId="5" borderId="2" xfId="1" applyNumberFormat="1" applyFont="1" applyFill="1" applyBorder="1" applyAlignment="1">
      <alignment horizontal="center"/>
    </xf>
    <xf numFmtId="3" fontId="5" fillId="5" borderId="4" xfId="1" applyNumberFormat="1" applyFont="1" applyFill="1" applyBorder="1" applyAlignment="1">
      <alignment horizontal="center"/>
    </xf>
    <xf numFmtId="166" fontId="13" fillId="6" borderId="0" xfId="1" applyNumberFormat="1" applyFont="1" applyFill="1" applyBorder="1" applyAlignment="1">
      <alignment horizontal="center" vertical="top"/>
    </xf>
    <xf numFmtId="0" fontId="6" fillId="8" borderId="0" xfId="1" applyNumberFormat="1" applyFont="1" applyFill="1" applyAlignment="1">
      <alignment horizontal="center"/>
    </xf>
    <xf numFmtId="3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6" fillId="2" borderId="14" xfId="1" applyNumberFormat="1" applyFont="1" applyFill="1" applyBorder="1" applyAlignment="1" applyProtection="1">
      <alignment horizontal="center" vertical="center"/>
      <protection locked="0"/>
    </xf>
    <xf numFmtId="0" fontId="6" fillId="2" borderId="0" xfId="1" applyNumberFormat="1" applyFont="1" applyFill="1" applyBorder="1" applyAlignment="1" applyProtection="1">
      <alignment horizontal="center" vertical="center"/>
      <protection locked="0"/>
    </xf>
    <xf numFmtId="0" fontId="6" fillId="2" borderId="10" xfId="1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0" fillId="2" borderId="0" xfId="0" applyNumberFormat="1" applyFill="1" applyProtection="1">
      <protection locked="0"/>
    </xf>
    <xf numFmtId="3" fontId="0" fillId="8" borderId="0" xfId="1" applyNumberFormat="1" applyFont="1" applyFill="1" applyBorder="1" applyAlignment="1" applyProtection="1">
      <alignment horizontal="center"/>
      <protection locked="0"/>
    </xf>
    <xf numFmtId="3" fontId="0" fillId="2" borderId="0" xfId="1" applyNumberFormat="1" applyFont="1" applyFill="1" applyBorder="1" applyAlignment="1" applyProtection="1">
      <alignment horizontal="center"/>
      <protection locked="0"/>
    </xf>
    <xf numFmtId="3" fontId="0" fillId="8" borderId="14" xfId="1" applyNumberFormat="1" applyFont="1" applyFill="1" applyBorder="1" applyAlignment="1" applyProtection="1">
      <alignment horizontal="center"/>
      <protection locked="0"/>
    </xf>
    <xf numFmtId="3" fontId="0" fillId="2" borderId="14" xfId="1" applyNumberFormat="1" applyFont="1" applyFill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3" fontId="1" fillId="5" borderId="4" xfId="1" applyNumberFormat="1" applyFont="1" applyFill="1" applyBorder="1" applyAlignment="1">
      <alignment horizontal="center"/>
    </xf>
    <xf numFmtId="3" fontId="0" fillId="0" borderId="9" xfId="0" applyNumberFormat="1" applyBorder="1"/>
    <xf numFmtId="3" fontId="18" fillId="7" borderId="2" xfId="1" applyNumberFormat="1" applyFont="1" applyFill="1" applyBorder="1" applyAlignment="1">
      <alignment horizontal="center"/>
    </xf>
    <xf numFmtId="3" fontId="19" fillId="7" borderId="2" xfId="1" applyNumberFormat="1" applyFont="1" applyFill="1" applyBorder="1" applyAlignment="1">
      <alignment horizontal="center"/>
    </xf>
    <xf numFmtId="3" fontId="20" fillId="8" borderId="0" xfId="1" applyNumberFormat="1" applyFont="1" applyFill="1" applyAlignment="1">
      <alignment horizontal="center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Border="1" applyAlignment="1" applyProtection="1">
      <alignment horizontal="center"/>
      <protection locked="0"/>
    </xf>
    <xf numFmtId="3" fontId="0" fillId="2" borderId="0" xfId="0" applyNumberFormat="1" applyFill="1" applyAlignment="1" applyProtection="1">
      <alignment horizontal="center"/>
      <protection locked="0"/>
    </xf>
    <xf numFmtId="3" fontId="0" fillId="8" borderId="0" xfId="0" applyNumberFormat="1" applyFill="1" applyAlignment="1" applyProtection="1">
      <alignment horizontal="center"/>
      <protection locked="0"/>
    </xf>
    <xf numFmtId="3" fontId="0" fillId="2" borderId="0" xfId="0" applyNumberFormat="1" applyFill="1" applyBorder="1" applyAlignment="1" applyProtection="1">
      <alignment horizontal="center"/>
      <protection locked="0"/>
    </xf>
    <xf numFmtId="3" fontId="0" fillId="8" borderId="0" xfId="0" applyNumberFormat="1" applyFill="1" applyBorder="1" applyAlignment="1" applyProtection="1">
      <alignment horizontal="center"/>
      <protection locked="0"/>
    </xf>
    <xf numFmtId="3" fontId="21" fillId="2" borderId="0" xfId="0" applyNumberFormat="1" applyFont="1" applyFill="1" applyAlignment="1">
      <alignment horizontal="center"/>
    </xf>
    <xf numFmtId="3" fontId="0" fillId="0" borderId="15" xfId="0" applyNumberFormat="1" applyBorder="1" applyProtection="1">
      <protection locked="0"/>
    </xf>
    <xf numFmtId="3" fontId="5" fillId="10" borderId="16" xfId="1" applyNumberFormat="1" applyFont="1" applyFill="1" applyBorder="1" applyAlignment="1" applyProtection="1">
      <alignment horizontal="center"/>
      <protection locked="0"/>
    </xf>
    <xf numFmtId="3" fontId="5" fillId="10" borderId="17" xfId="1" applyNumberFormat="1" applyFont="1" applyFill="1" applyBorder="1" applyAlignment="1" applyProtection="1">
      <alignment horizontal="center"/>
      <protection locked="0"/>
    </xf>
    <xf numFmtId="3" fontId="1" fillId="10" borderId="17" xfId="1" applyNumberFormat="1" applyFont="1" applyFill="1" applyBorder="1" applyAlignment="1" applyProtection="1">
      <alignment horizontal="center"/>
      <protection locked="0"/>
    </xf>
    <xf numFmtId="3" fontId="1" fillId="10" borderId="18" xfId="1" applyNumberFormat="1" applyFont="1" applyFill="1" applyBorder="1" applyAlignment="1" applyProtection="1">
      <alignment horizontal="center"/>
      <protection locked="0"/>
    </xf>
    <xf numFmtId="3" fontId="1" fillId="10" borderId="19" xfId="1" applyNumberFormat="1" applyFont="1" applyFill="1" applyBorder="1" applyAlignment="1" applyProtection="1">
      <alignment horizontal="center"/>
      <protection locked="0"/>
    </xf>
    <xf numFmtId="3" fontId="1" fillId="10" borderId="20" xfId="1" applyNumberFormat="1" applyFont="1" applyFill="1" applyBorder="1" applyAlignment="1" applyProtection="1">
      <alignment horizontal="center"/>
      <protection locked="0"/>
    </xf>
    <xf numFmtId="3" fontId="1" fillId="10" borderId="21" xfId="1" applyNumberFormat="1" applyFont="1" applyFill="1" applyBorder="1" applyAlignment="1" applyProtection="1">
      <alignment horizontal="center"/>
      <protection locked="0"/>
    </xf>
    <xf numFmtId="0" fontId="6" fillId="8" borderId="22" xfId="1" applyNumberFormat="1" applyFont="1" applyFill="1" applyBorder="1" applyAlignment="1" applyProtection="1">
      <alignment horizontal="center" vertical="center"/>
      <protection locked="0"/>
    </xf>
    <xf numFmtId="0" fontId="6" fillId="8" borderId="12" xfId="1" applyNumberFormat="1" applyFont="1" applyFill="1" applyBorder="1" applyAlignment="1" applyProtection="1">
      <alignment horizontal="center" vertical="center"/>
      <protection locked="0"/>
    </xf>
    <xf numFmtId="0" fontId="6" fillId="8" borderId="23" xfId="1" applyNumberFormat="1" applyFont="1" applyFill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3" fontId="0" fillId="0" borderId="25" xfId="0" applyNumberFormat="1" applyBorder="1" applyAlignment="1" applyProtection="1">
      <alignment horizontal="center"/>
      <protection locked="0"/>
    </xf>
    <xf numFmtId="3" fontId="0" fillId="2" borderId="25" xfId="0" applyNumberFormat="1" applyFill="1" applyBorder="1" applyAlignment="1" applyProtection="1">
      <alignment horizontal="center"/>
      <protection locked="0"/>
    </xf>
    <xf numFmtId="3" fontId="0" fillId="8" borderId="25" xfId="0" applyNumberFormat="1" applyFill="1" applyBorder="1" applyAlignment="1" applyProtection="1">
      <alignment horizontal="center"/>
      <protection locked="0"/>
    </xf>
    <xf numFmtId="3" fontId="0" fillId="8" borderId="25" xfId="1" applyNumberFormat="1" applyFont="1" applyFill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3" fontId="0" fillId="2" borderId="18" xfId="0" applyNumberFormat="1" applyFill="1" applyBorder="1" applyAlignment="1" applyProtection="1">
      <alignment horizontal="center"/>
      <protection locked="0"/>
    </xf>
    <xf numFmtId="3" fontId="0" fillId="8" borderId="18" xfId="0" applyNumberFormat="1" applyFill="1" applyBorder="1" applyAlignment="1" applyProtection="1">
      <alignment horizontal="center"/>
      <protection locked="0"/>
    </xf>
    <xf numFmtId="3" fontId="0" fillId="8" borderId="18" xfId="1" applyNumberFormat="1" applyFont="1" applyFill="1" applyBorder="1" applyAlignment="1" applyProtection="1">
      <alignment horizontal="center"/>
      <protection locked="0"/>
    </xf>
    <xf numFmtId="3" fontId="17" fillId="2" borderId="0" xfId="0" applyNumberFormat="1" applyFont="1" applyFill="1" applyBorder="1" applyAlignment="1" applyProtection="1">
      <alignment horizontal="center"/>
      <protection locked="0"/>
    </xf>
    <xf numFmtId="3" fontId="0" fillId="2" borderId="18" xfId="1" applyNumberFormat="1" applyFont="1" applyFill="1" applyBorder="1" applyAlignment="1" applyProtection="1">
      <alignment horizontal="center"/>
      <protection locked="0"/>
    </xf>
    <xf numFmtId="3" fontId="0" fillId="2" borderId="13" xfId="0" applyNumberFormat="1" applyFill="1" applyBorder="1" applyProtection="1">
      <protection locked="0"/>
    </xf>
    <xf numFmtId="3" fontId="0" fillId="2" borderId="26" xfId="0" applyNumberFormat="1" applyFill="1" applyBorder="1" applyProtection="1">
      <protection locked="0"/>
    </xf>
    <xf numFmtId="3" fontId="0" fillId="2" borderId="28" xfId="0" applyNumberFormat="1" applyFill="1" applyBorder="1" applyProtection="1">
      <protection locked="0"/>
    </xf>
    <xf numFmtId="3" fontId="22" fillId="0" borderId="0" xfId="0" applyNumberFormat="1" applyFont="1"/>
    <xf numFmtId="3" fontId="0" fillId="0" borderId="18" xfId="1" applyNumberFormat="1" applyFont="1" applyFill="1" applyBorder="1" applyAlignment="1" applyProtection="1">
      <alignment horizontal="center"/>
      <protection locked="0"/>
    </xf>
    <xf numFmtId="3" fontId="1" fillId="5" borderId="5" xfId="1" applyNumberFormat="1" applyFont="1" applyFill="1" applyBorder="1" applyAlignment="1">
      <alignment horizontal="left"/>
    </xf>
    <xf numFmtId="3" fontId="1" fillId="5" borderId="4" xfId="1" applyNumberFormat="1" applyFont="1" applyFill="1" applyBorder="1" applyAlignment="1">
      <alignment horizontal="left"/>
    </xf>
    <xf numFmtId="3" fontId="1" fillId="5" borderId="2" xfId="1" applyNumberFormat="1" applyFont="1" applyFill="1" applyBorder="1" applyAlignment="1">
      <alignment horizontal="center"/>
    </xf>
    <xf numFmtId="3" fontId="1" fillId="5" borderId="5" xfId="1" applyNumberFormat="1" applyFont="1" applyFill="1" applyBorder="1" applyAlignment="1">
      <alignment horizontal="center"/>
    </xf>
    <xf numFmtId="3" fontId="3" fillId="7" borderId="2" xfId="1" applyNumberFormat="1" applyFont="1" applyFill="1" applyBorder="1" applyAlignment="1">
      <alignment horizontal="center"/>
    </xf>
    <xf numFmtId="0" fontId="0" fillId="0" borderId="0" xfId="0" applyFont="1"/>
    <xf numFmtId="3" fontId="16" fillId="5" borderId="0" xfId="0" applyNumberFormat="1" applyFont="1" applyFill="1" applyAlignment="1">
      <alignment horizontal="center" vertical="center"/>
    </xf>
    <xf numFmtId="166" fontId="13" fillId="6" borderId="0" xfId="1" applyNumberFormat="1" applyFont="1" applyFill="1" applyAlignment="1">
      <alignment horizontal="center" vertical="top"/>
    </xf>
    <xf numFmtId="3" fontId="14" fillId="6" borderId="0" xfId="1" applyNumberFormat="1" applyFont="1" applyFill="1" applyBorder="1" applyAlignment="1">
      <alignment vertical="center"/>
    </xf>
    <xf numFmtId="3" fontId="10" fillId="5" borderId="0" xfId="0" applyNumberFormat="1" applyFont="1" applyFill="1" applyAlignment="1">
      <alignment horizontal="right"/>
    </xf>
    <xf numFmtId="3" fontId="5" fillId="4" borderId="3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3" fontId="9" fillId="4" borderId="0" xfId="0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right" vertical="center"/>
    </xf>
    <xf numFmtId="166" fontId="13" fillId="6" borderId="0" xfId="1" applyNumberFormat="1" applyFont="1" applyFill="1" applyAlignment="1">
      <alignment horizontal="right" vertical="top"/>
    </xf>
    <xf numFmtId="166" fontId="13" fillId="6" borderId="10" xfId="1" applyNumberFormat="1" applyFont="1" applyFill="1" applyBorder="1" applyAlignment="1">
      <alignment horizontal="right" vertical="top"/>
    </xf>
    <xf numFmtId="166" fontId="13" fillId="6" borderId="0" xfId="1" applyNumberFormat="1" applyFont="1" applyFill="1" applyAlignment="1">
      <alignment vertical="top"/>
    </xf>
    <xf numFmtId="166" fontId="13" fillId="6" borderId="10" xfId="1" applyNumberFormat="1" applyFont="1" applyFill="1" applyBorder="1" applyAlignment="1">
      <alignment vertical="top"/>
    </xf>
    <xf numFmtId="3" fontId="16" fillId="5" borderId="0" xfId="0" applyNumberFormat="1" applyFont="1" applyFill="1" applyAlignment="1">
      <alignment horizontal="center" vertical="center"/>
    </xf>
    <xf numFmtId="166" fontId="13" fillId="6" borderId="0" xfId="1" applyNumberFormat="1" applyFont="1" applyFill="1" applyAlignment="1">
      <alignment horizontal="center" vertical="top"/>
    </xf>
    <xf numFmtId="166" fontId="13" fillId="6" borderId="10" xfId="1" applyNumberFormat="1" applyFont="1" applyFill="1" applyBorder="1" applyAlignment="1">
      <alignment horizontal="center" vertical="top"/>
    </xf>
    <xf numFmtId="3" fontId="3" fillId="7" borderId="11" xfId="1" applyNumberFormat="1" applyFont="1" applyFill="1" applyBorder="1" applyAlignment="1">
      <alignment horizontal="center"/>
    </xf>
    <xf numFmtId="3" fontId="3" fillId="7" borderId="1" xfId="1" applyNumberFormat="1" applyFont="1" applyFill="1" applyBorder="1" applyAlignment="1">
      <alignment horizontal="center"/>
    </xf>
    <xf numFmtId="0" fontId="15" fillId="6" borderId="0" xfId="0" applyFont="1" applyFill="1" applyAlignment="1" applyProtection="1">
      <alignment horizontal="center" vertical="center"/>
      <protection locked="0"/>
    </xf>
    <xf numFmtId="166" fontId="14" fillId="6" borderId="0" xfId="1" applyNumberFormat="1" applyFont="1" applyFill="1" applyAlignment="1">
      <alignment horizontal="center" vertical="top"/>
    </xf>
    <xf numFmtId="166" fontId="14" fillId="6" borderId="0" xfId="1" applyNumberFormat="1" applyFont="1" applyFill="1" applyBorder="1" applyAlignment="1">
      <alignment horizontal="center" vertical="top"/>
    </xf>
    <xf numFmtId="167" fontId="14" fillId="6" borderId="0" xfId="1" applyNumberFormat="1" applyFont="1" applyFill="1" applyAlignment="1">
      <alignment horizontal="center" vertical="top"/>
    </xf>
    <xf numFmtId="167" fontId="14" fillId="6" borderId="10" xfId="1" applyNumberFormat="1" applyFont="1" applyFill="1" applyBorder="1" applyAlignment="1">
      <alignment horizontal="center" vertical="top"/>
    </xf>
    <xf numFmtId="3" fontId="3" fillId="7" borderId="10" xfId="1" applyNumberFormat="1" applyFont="1" applyFill="1" applyBorder="1" applyAlignment="1">
      <alignment horizontal="center"/>
    </xf>
    <xf numFmtId="3" fontId="0" fillId="6" borderId="0" xfId="0" applyNumberFormat="1" applyFill="1" applyAlignment="1">
      <alignment horizontal="center"/>
    </xf>
    <xf numFmtId="3" fontId="13" fillId="6" borderId="0" xfId="1" applyNumberFormat="1" applyFont="1" applyFill="1" applyBorder="1" applyAlignment="1">
      <alignment horizontal="center" vertical="center"/>
    </xf>
    <xf numFmtId="3" fontId="14" fillId="6" borderId="0" xfId="1" applyNumberFormat="1" applyFont="1" applyFill="1" applyBorder="1" applyAlignment="1">
      <alignment vertical="center"/>
    </xf>
    <xf numFmtId="3" fontId="10" fillId="5" borderId="0" xfId="0" applyNumberFormat="1" applyFont="1" applyFill="1" applyAlignment="1">
      <alignment horizontal="center"/>
    </xf>
    <xf numFmtId="3" fontId="14" fillId="6" borderId="0" xfId="1" applyNumberFormat="1" applyFont="1" applyFill="1" applyBorder="1" applyAlignment="1">
      <alignment horizontal="center" vertical="center"/>
    </xf>
    <xf numFmtId="3" fontId="10" fillId="5" borderId="0" xfId="0" applyNumberFormat="1" applyFont="1" applyFill="1" applyAlignment="1">
      <alignment horizontal="right"/>
    </xf>
    <xf numFmtId="3" fontId="9" fillId="9" borderId="0" xfId="0" applyNumberFormat="1" applyFont="1" applyFill="1" applyAlignment="1" applyProtection="1">
      <alignment horizontal="center" vertical="center"/>
      <protection locked="0"/>
    </xf>
    <xf numFmtId="3" fontId="5" fillId="3" borderId="27" xfId="1" applyNumberFormat="1" applyFont="1" applyFill="1" applyBorder="1" applyAlignment="1" applyProtection="1">
      <alignment horizontal="center"/>
      <protection locked="0"/>
    </xf>
    <xf numFmtId="3" fontId="5" fillId="3" borderId="29" xfId="1" applyNumberFormat="1" applyFont="1" applyFill="1" applyBorder="1" applyAlignment="1" applyProtection="1">
      <alignment horizontal="center"/>
      <protection locked="0"/>
    </xf>
    <xf numFmtId="3" fontId="5" fillId="3" borderId="19" xfId="1" applyNumberFormat="1" applyFont="1" applyFill="1" applyBorder="1" applyAlignment="1" applyProtection="1">
      <alignment horizontal="center"/>
      <protection locked="0"/>
    </xf>
    <xf numFmtId="3" fontId="5" fillId="3" borderId="18" xfId="1" applyNumberFormat="1" applyFont="1" applyFill="1" applyBorder="1" applyAlignment="1" applyProtection="1">
      <alignment horizontal="center"/>
      <protection locked="0"/>
    </xf>
    <xf numFmtId="3" fontId="5" fillId="3" borderId="28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9" defaultPivotStyle="PivotStyleLight16"/>
  <colors>
    <mruColors>
      <color rgb="FFEAF3F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Dashboard!$M$8:$M$19</c:f>
              <c:numCache>
                <c:formatCode>#,##0</c:formatCode>
                <c:ptCount val="12"/>
                <c:pt idx="0">
                  <c:v>17540.009999999998</c:v>
                </c:pt>
                <c:pt idx="1">
                  <c:v>15541.9</c:v>
                </c:pt>
                <c:pt idx="2">
                  <c:v>62509.51</c:v>
                </c:pt>
                <c:pt idx="3">
                  <c:v>71133.119999999995</c:v>
                </c:pt>
                <c:pt idx="4">
                  <c:v>52683.69</c:v>
                </c:pt>
                <c:pt idx="5">
                  <c:v>14857.98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7-4C4E-86A2-DF8B268536F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Dashboard!$P$8:$P$19</c:f>
              <c:numCache>
                <c:formatCode>#,##0</c:formatCode>
                <c:ptCount val="12"/>
                <c:pt idx="0">
                  <c:v>110000</c:v>
                </c:pt>
                <c:pt idx="1">
                  <c:v>40000</c:v>
                </c:pt>
                <c:pt idx="2">
                  <c:v>50000</c:v>
                </c:pt>
                <c:pt idx="3">
                  <c:v>18000</c:v>
                </c:pt>
                <c:pt idx="4">
                  <c:v>52000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7-4C4E-86A2-DF8B26853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223944"/>
        <c:axId val="405266952"/>
      </c:lineChart>
      <c:catAx>
        <c:axId val="40522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66952"/>
        <c:crosses val="autoZero"/>
        <c:auto val="1"/>
        <c:lblAlgn val="ctr"/>
        <c:lblOffset val="100"/>
        <c:noMultiLvlLbl val="0"/>
      </c:catAx>
      <c:valAx>
        <c:axId val="405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2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197168</xdr:colOff>
      <xdr:row>0</xdr:row>
      <xdr:rowOff>40134</xdr:rowOff>
    </xdr:from>
    <xdr:to>
      <xdr:col>15</xdr:col>
      <xdr:colOff>673560</xdr:colOff>
      <xdr:row>1</xdr:row>
      <xdr:rowOff>226201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A626B-6FFE-4D31-B105-583D0498C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6131" y="40134"/>
          <a:ext cx="470652" cy="467055"/>
        </a:xfrm>
        <a:prstGeom prst="rect">
          <a:avLst/>
        </a:prstGeom>
      </xdr:spPr>
    </xdr:pic>
    <xdr:clientData/>
  </xdr:twoCellAnchor>
  <xdr:twoCellAnchor editAs="oneCell">
    <xdr:from>
      <xdr:col>0</xdr:col>
      <xdr:colOff>153811</xdr:colOff>
      <xdr:row>0</xdr:row>
      <xdr:rowOff>25602</xdr:rowOff>
    </xdr:from>
    <xdr:to>
      <xdr:col>1</xdr:col>
      <xdr:colOff>2906</xdr:colOff>
      <xdr:row>1</xdr:row>
      <xdr:rowOff>239402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B302B9-2C0E-91A9-2929-ADE12944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11" y="25602"/>
          <a:ext cx="498651" cy="492744"/>
        </a:xfrm>
        <a:prstGeom prst="rect">
          <a:avLst/>
        </a:prstGeom>
      </xdr:spPr>
    </xdr:pic>
    <xdr:clientData/>
  </xdr:twoCellAnchor>
  <xdr:twoCellAnchor>
    <xdr:from>
      <xdr:col>6</xdr:col>
      <xdr:colOff>542925</xdr:colOff>
      <xdr:row>3</xdr:row>
      <xdr:rowOff>123825</xdr:rowOff>
    </xdr:from>
    <xdr:to>
      <xdr:col>13</xdr:col>
      <xdr:colOff>447675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7F67E-7E4D-5226-6651-EB32C6203CD5}"/>
            </a:ext>
            <a:ext uri="{147F2762-F138-4A5C-976F-8EAC2B608ADB}">
              <a16:predDERef xmlns:a16="http://schemas.microsoft.com/office/drawing/2014/main" pred="{EDB302B9-2C0E-91A9-2929-ADE12944A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opLeftCell="A5" zoomScaleNormal="100" workbookViewId="0">
      <selection activeCell="P20" sqref="P20"/>
    </sheetView>
  </sheetViews>
  <sheetFormatPr defaultColWidth="8.85546875" defaultRowHeight="14.45"/>
  <cols>
    <col min="1" max="1" width="9.7109375" style="1" customWidth="1"/>
    <col min="2" max="2" width="10.42578125" style="1" bestFit="1" customWidth="1"/>
    <col min="3" max="3" width="12" style="1" bestFit="1" customWidth="1"/>
    <col min="4" max="8" width="10.42578125" style="1" bestFit="1" customWidth="1"/>
    <col min="9" max="11" width="9.28515625" style="1" bestFit="1" customWidth="1"/>
    <col min="12" max="12" width="12" style="1" bestFit="1" customWidth="1"/>
    <col min="13" max="13" width="12.85546875" style="1" bestFit="1" customWidth="1"/>
    <col min="14" max="14" width="10.42578125" style="1" bestFit="1" customWidth="1"/>
    <col min="15" max="16384" width="8.85546875" style="1"/>
  </cols>
  <sheetData>
    <row r="1" spans="1:15" ht="22.15" customHeight="1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 ht="22.1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5">
      <c r="A3" s="25"/>
      <c r="B3" s="132" t="s">
        <v>1</v>
      </c>
      <c r="C3" s="132"/>
      <c r="D3" s="2"/>
      <c r="E3" s="130" t="s">
        <v>2</v>
      </c>
      <c r="F3" s="130"/>
      <c r="G3" s="130"/>
      <c r="H3" s="106"/>
      <c r="I3" s="130" t="s">
        <v>3</v>
      </c>
      <c r="J3" s="130"/>
      <c r="K3" s="130"/>
      <c r="L3" s="130" t="s">
        <v>4</v>
      </c>
      <c r="M3" s="130"/>
      <c r="N3" s="130"/>
    </row>
    <row r="4" spans="1:15" ht="14.45" customHeight="1">
      <c r="A4" s="127"/>
      <c r="B4" s="129">
        <v>363250</v>
      </c>
      <c r="C4" s="129"/>
      <c r="D4" s="105"/>
      <c r="E4" s="131">
        <f>AVERAGE(L9:L20)</f>
        <v>30270.833333333332</v>
      </c>
      <c r="F4" s="131"/>
      <c r="G4" s="131"/>
      <c r="H4" s="3"/>
      <c r="I4" s="128">
        <v>30000</v>
      </c>
      <c r="J4" s="128"/>
      <c r="K4" s="128"/>
      <c r="L4" s="128">
        <v>230000</v>
      </c>
      <c r="M4" s="128"/>
      <c r="N4" s="128"/>
    </row>
    <row r="5" spans="1:15" ht="14.45" customHeight="1">
      <c r="A5" s="127"/>
      <c r="B5" s="129"/>
      <c r="C5" s="129"/>
      <c r="D5" s="105"/>
      <c r="E5" s="131"/>
      <c r="F5" s="131"/>
      <c r="G5" s="131"/>
      <c r="H5" s="4"/>
      <c r="I5" s="128"/>
      <c r="J5" s="128"/>
      <c r="K5" s="128"/>
      <c r="L5" s="128"/>
      <c r="M5" s="128"/>
      <c r="N5" s="128"/>
    </row>
    <row r="6" spans="1:15" ht="14.45" customHeight="1"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5">
      <c r="A7" s="107"/>
      <c r="B7" s="109"/>
      <c r="C7" s="107" t="s">
        <v>5</v>
      </c>
      <c r="D7" s="108"/>
      <c r="E7" s="108"/>
      <c r="F7" s="108"/>
      <c r="G7" s="108"/>
      <c r="H7" s="108"/>
      <c r="I7" s="108"/>
      <c r="J7" s="108"/>
      <c r="K7" s="108"/>
      <c r="L7" s="109"/>
      <c r="M7" s="107" t="s">
        <v>6</v>
      </c>
      <c r="N7" s="109"/>
      <c r="O7" s="9"/>
    </row>
    <row r="8" spans="1:15">
      <c r="A8" s="21" t="s">
        <v>7</v>
      </c>
      <c r="B8" s="8" t="s">
        <v>8</v>
      </c>
      <c r="C8" s="10" t="s">
        <v>9</v>
      </c>
      <c r="D8" s="11" t="s">
        <v>10</v>
      </c>
      <c r="E8" s="12" t="s">
        <v>11</v>
      </c>
      <c r="F8" s="12" t="s">
        <v>12</v>
      </c>
      <c r="G8" s="10" t="s">
        <v>13</v>
      </c>
      <c r="H8" s="11" t="s">
        <v>14</v>
      </c>
      <c r="I8" s="12" t="s">
        <v>15</v>
      </c>
      <c r="J8" s="10" t="s">
        <v>16</v>
      </c>
      <c r="K8" s="13" t="s">
        <v>17</v>
      </c>
      <c r="L8" s="10" t="s">
        <v>18</v>
      </c>
      <c r="M8" s="97" t="s">
        <v>19</v>
      </c>
      <c r="N8" s="98" t="s">
        <v>20</v>
      </c>
    </row>
    <row r="9" spans="1:15">
      <c r="A9" s="22">
        <v>2026</v>
      </c>
      <c r="B9" s="14" t="s">
        <v>21</v>
      </c>
      <c r="C9" s="15">
        <v>16000</v>
      </c>
      <c r="D9" s="16">
        <v>1200</v>
      </c>
      <c r="E9" s="15">
        <v>4500</v>
      </c>
      <c r="F9" s="16">
        <v>2500</v>
      </c>
      <c r="G9" s="15">
        <v>1800</v>
      </c>
      <c r="H9" s="16">
        <v>2500</v>
      </c>
      <c r="I9" s="15">
        <v>800</v>
      </c>
      <c r="J9" s="16">
        <v>1000</v>
      </c>
      <c r="K9" s="15">
        <v>700</v>
      </c>
      <c r="L9" s="16">
        <v>29000</v>
      </c>
      <c r="M9" s="15">
        <v>20000</v>
      </c>
      <c r="N9" s="16">
        <v>2500</v>
      </c>
    </row>
    <row r="10" spans="1:15">
      <c r="A10" s="22">
        <v>2026</v>
      </c>
      <c r="B10" s="17" t="s">
        <v>22</v>
      </c>
      <c r="C10" s="15">
        <v>16000</v>
      </c>
      <c r="D10" s="16">
        <v>900</v>
      </c>
      <c r="E10" s="15">
        <v>3200</v>
      </c>
      <c r="F10" s="16">
        <v>2200</v>
      </c>
      <c r="G10" s="15">
        <v>1750</v>
      </c>
      <c r="H10" s="16">
        <v>2500</v>
      </c>
      <c r="I10" s="15">
        <v>500</v>
      </c>
      <c r="J10" s="16">
        <v>0</v>
      </c>
      <c r="K10" s="15">
        <v>300</v>
      </c>
      <c r="L10" s="16">
        <v>27350</v>
      </c>
      <c r="M10" s="15">
        <v>18000</v>
      </c>
      <c r="N10" s="16">
        <v>2500</v>
      </c>
    </row>
    <row r="11" spans="1:15">
      <c r="A11" s="22">
        <v>2026</v>
      </c>
      <c r="B11" s="17" t="s">
        <v>23</v>
      </c>
      <c r="C11" s="15">
        <v>16000</v>
      </c>
      <c r="D11" s="16">
        <v>1500</v>
      </c>
      <c r="E11" s="15">
        <v>6000</v>
      </c>
      <c r="F11" s="16">
        <v>2800</v>
      </c>
      <c r="G11" s="15">
        <v>1900</v>
      </c>
      <c r="H11" s="16">
        <v>2500</v>
      </c>
      <c r="I11" s="15">
        <v>1200</v>
      </c>
      <c r="J11" s="16">
        <v>1500</v>
      </c>
      <c r="K11" s="15">
        <v>600</v>
      </c>
      <c r="L11" s="16">
        <v>34000</v>
      </c>
      <c r="M11" s="15">
        <v>25000</v>
      </c>
      <c r="N11" s="16">
        <v>2500</v>
      </c>
    </row>
    <row r="12" spans="1:15">
      <c r="A12" s="22">
        <v>2026</v>
      </c>
      <c r="B12" s="17" t="s">
        <v>24</v>
      </c>
      <c r="C12" s="15">
        <v>16000</v>
      </c>
      <c r="D12" s="16">
        <v>800</v>
      </c>
      <c r="E12" s="15">
        <v>2500</v>
      </c>
      <c r="F12" s="16">
        <v>2100</v>
      </c>
      <c r="G12" s="15">
        <v>1700</v>
      </c>
      <c r="H12" s="16">
        <v>2500</v>
      </c>
      <c r="I12" s="15">
        <v>300</v>
      </c>
      <c r="J12" s="16">
        <v>0</v>
      </c>
      <c r="K12" s="15">
        <v>400</v>
      </c>
      <c r="L12" s="16">
        <v>26300</v>
      </c>
      <c r="M12" s="15">
        <v>22000</v>
      </c>
      <c r="N12" s="16">
        <v>2500</v>
      </c>
    </row>
    <row r="13" spans="1:15">
      <c r="A13" s="22">
        <v>2026</v>
      </c>
      <c r="B13" s="17" t="s">
        <v>25</v>
      </c>
      <c r="C13" s="15">
        <v>16000</v>
      </c>
      <c r="D13" s="16">
        <v>1300</v>
      </c>
      <c r="E13" s="15">
        <v>7500</v>
      </c>
      <c r="F13" s="16">
        <v>3000</v>
      </c>
      <c r="G13" s="15">
        <v>1800</v>
      </c>
      <c r="H13" s="16">
        <v>2500</v>
      </c>
      <c r="I13" s="15">
        <v>700</v>
      </c>
      <c r="J13" s="16">
        <v>1000</v>
      </c>
      <c r="K13" s="15">
        <v>500</v>
      </c>
      <c r="L13" s="16">
        <v>34300</v>
      </c>
      <c r="M13" s="15">
        <v>15000</v>
      </c>
      <c r="N13" s="16">
        <v>2500</v>
      </c>
    </row>
    <row r="14" spans="1:15">
      <c r="A14" s="22">
        <v>2026</v>
      </c>
      <c r="B14" s="17" t="s">
        <v>26</v>
      </c>
      <c r="C14" s="15">
        <v>16000</v>
      </c>
      <c r="D14" s="16">
        <v>1000</v>
      </c>
      <c r="E14" s="15">
        <v>2800</v>
      </c>
      <c r="F14" s="16">
        <v>2400</v>
      </c>
      <c r="G14" s="15">
        <v>1750</v>
      </c>
      <c r="H14" s="16">
        <v>2500</v>
      </c>
      <c r="I14" s="15">
        <v>600</v>
      </c>
      <c r="J14" s="16">
        <v>500</v>
      </c>
      <c r="K14" s="15">
        <v>350</v>
      </c>
      <c r="L14" s="16">
        <v>27900</v>
      </c>
      <c r="M14" s="15">
        <v>20000</v>
      </c>
      <c r="N14" s="16">
        <v>2500</v>
      </c>
    </row>
    <row r="15" spans="1:15">
      <c r="A15" s="22">
        <v>2026</v>
      </c>
      <c r="B15" s="17" t="s">
        <v>27</v>
      </c>
      <c r="C15" s="15">
        <v>16000</v>
      </c>
      <c r="D15" s="16">
        <v>1100</v>
      </c>
      <c r="E15" s="15">
        <v>3500</v>
      </c>
      <c r="F15" s="16">
        <v>2600</v>
      </c>
      <c r="G15" s="15">
        <v>1800</v>
      </c>
      <c r="H15" s="16">
        <v>2500</v>
      </c>
      <c r="I15" s="15">
        <v>450</v>
      </c>
      <c r="J15" s="16">
        <v>1000</v>
      </c>
      <c r="K15" s="15">
        <v>400</v>
      </c>
      <c r="L15" s="16">
        <v>29350</v>
      </c>
      <c r="M15" s="15">
        <v>18000</v>
      </c>
      <c r="N15" s="16">
        <v>2500</v>
      </c>
    </row>
    <row r="16" spans="1:15">
      <c r="A16" s="22">
        <v>2026</v>
      </c>
      <c r="B16" s="17" t="s">
        <v>28</v>
      </c>
      <c r="C16" s="15">
        <v>16000</v>
      </c>
      <c r="D16" s="16">
        <v>900</v>
      </c>
      <c r="E16" s="15">
        <v>4200</v>
      </c>
      <c r="F16" s="16">
        <v>2300</v>
      </c>
      <c r="G16" s="15">
        <v>1700</v>
      </c>
      <c r="H16" s="16">
        <v>2500</v>
      </c>
      <c r="I16" s="15">
        <v>550</v>
      </c>
      <c r="J16" s="16">
        <v>0</v>
      </c>
      <c r="K16" s="15">
        <v>300</v>
      </c>
      <c r="L16" s="16">
        <v>28450</v>
      </c>
      <c r="M16" s="15">
        <v>21000</v>
      </c>
      <c r="N16" s="16">
        <v>2500</v>
      </c>
    </row>
    <row r="17" spans="1:14">
      <c r="A17" s="22">
        <v>2026</v>
      </c>
      <c r="B17" s="17" t="s">
        <v>29</v>
      </c>
      <c r="C17" s="15">
        <v>16000</v>
      </c>
      <c r="D17" s="16">
        <v>1400</v>
      </c>
      <c r="E17" s="15">
        <v>3100</v>
      </c>
      <c r="F17" s="16">
        <v>2500</v>
      </c>
      <c r="G17" s="15">
        <v>1850</v>
      </c>
      <c r="H17" s="16">
        <v>2500</v>
      </c>
      <c r="I17" s="15">
        <v>700</v>
      </c>
      <c r="J17" s="16">
        <v>800</v>
      </c>
      <c r="K17" s="15">
        <v>450</v>
      </c>
      <c r="L17" s="16">
        <v>29300</v>
      </c>
      <c r="M17" s="15">
        <v>19000</v>
      </c>
      <c r="N17" s="16">
        <v>2500</v>
      </c>
    </row>
    <row r="18" spans="1:14">
      <c r="A18" s="22">
        <v>2026</v>
      </c>
      <c r="B18" s="17" t="s">
        <v>30</v>
      </c>
      <c r="C18" s="15">
        <v>16000</v>
      </c>
      <c r="D18" s="16">
        <v>1200</v>
      </c>
      <c r="E18" s="15">
        <v>5000</v>
      </c>
      <c r="F18" s="16">
        <v>2700</v>
      </c>
      <c r="G18" s="15">
        <v>1800</v>
      </c>
      <c r="H18" s="16">
        <v>2500</v>
      </c>
      <c r="I18" s="15">
        <v>900</v>
      </c>
      <c r="J18" s="16">
        <v>1000</v>
      </c>
      <c r="K18" s="15">
        <v>600</v>
      </c>
      <c r="L18" s="16">
        <v>31700</v>
      </c>
      <c r="M18" s="15">
        <v>17000</v>
      </c>
      <c r="N18" s="16">
        <v>2500</v>
      </c>
    </row>
    <row r="19" spans="1:14">
      <c r="A19" s="22">
        <v>2026</v>
      </c>
      <c r="B19" s="17" t="s">
        <v>31</v>
      </c>
      <c r="C19" s="15">
        <v>16000</v>
      </c>
      <c r="D19" s="16">
        <v>1000</v>
      </c>
      <c r="E19" s="15">
        <v>3800</v>
      </c>
      <c r="F19" s="16">
        <v>2400</v>
      </c>
      <c r="G19" s="15">
        <v>1750</v>
      </c>
      <c r="H19" s="16">
        <v>2500</v>
      </c>
      <c r="I19" s="15">
        <v>500</v>
      </c>
      <c r="J19" s="16">
        <v>500</v>
      </c>
      <c r="K19" s="15">
        <v>350</v>
      </c>
      <c r="L19" s="16">
        <v>28800</v>
      </c>
      <c r="M19" s="15">
        <v>23000</v>
      </c>
      <c r="N19" s="16">
        <v>2500</v>
      </c>
    </row>
    <row r="20" spans="1:14">
      <c r="A20" s="23">
        <v>2026</v>
      </c>
      <c r="B20" s="18" t="s">
        <v>32</v>
      </c>
      <c r="C20" s="15">
        <v>16000</v>
      </c>
      <c r="D20" s="16">
        <v>1800</v>
      </c>
      <c r="E20" s="15">
        <v>8500</v>
      </c>
      <c r="F20" s="16">
        <v>3500</v>
      </c>
      <c r="G20" s="15">
        <v>2000</v>
      </c>
      <c r="H20" s="16">
        <v>2500</v>
      </c>
      <c r="I20" s="15">
        <v>1500</v>
      </c>
      <c r="J20" s="16">
        <v>0</v>
      </c>
      <c r="K20" s="15">
        <v>1000</v>
      </c>
      <c r="L20" s="16">
        <v>36800</v>
      </c>
      <c r="M20" s="15">
        <v>12000</v>
      </c>
      <c r="N20" s="16">
        <v>2500</v>
      </c>
    </row>
    <row r="21" spans="1:14">
      <c r="A21" s="126" t="s">
        <v>33</v>
      </c>
      <c r="B21" s="120"/>
      <c r="C21" s="19">
        <f t="shared" ref="C21:N21" si="0">SUM(C9:C20)</f>
        <v>192000</v>
      </c>
      <c r="D21" s="19">
        <f t="shared" si="0"/>
        <v>14100</v>
      </c>
      <c r="E21" s="19">
        <f t="shared" si="0"/>
        <v>54600</v>
      </c>
      <c r="F21" s="19">
        <f t="shared" si="0"/>
        <v>31000</v>
      </c>
      <c r="G21" s="19">
        <f t="shared" si="0"/>
        <v>21600</v>
      </c>
      <c r="H21" s="19">
        <f t="shared" si="0"/>
        <v>30000</v>
      </c>
      <c r="I21" s="19">
        <f t="shared" si="0"/>
        <v>8700</v>
      </c>
      <c r="J21" s="19">
        <f t="shared" si="0"/>
        <v>7300</v>
      </c>
      <c r="K21" s="19">
        <f t="shared" si="0"/>
        <v>5950</v>
      </c>
      <c r="L21" s="19">
        <f t="shared" si="0"/>
        <v>363250</v>
      </c>
      <c r="M21" s="19">
        <f t="shared" si="0"/>
        <v>230000</v>
      </c>
      <c r="N21" s="19">
        <f t="shared" si="0"/>
        <v>30000</v>
      </c>
    </row>
    <row r="25" spans="1:14">
      <c r="K25" s="20"/>
    </row>
  </sheetData>
  <mergeCells count="14">
    <mergeCell ref="A21:B21"/>
    <mergeCell ref="A7:B7"/>
    <mergeCell ref="A1:N2"/>
    <mergeCell ref="A4:A5"/>
    <mergeCell ref="M7:N7"/>
    <mergeCell ref="C7:L7"/>
    <mergeCell ref="L4:N5"/>
    <mergeCell ref="I4:K5"/>
    <mergeCell ref="B4:C5"/>
    <mergeCell ref="E3:G3"/>
    <mergeCell ref="E4:G5"/>
    <mergeCell ref="L3:N3"/>
    <mergeCell ref="I3:K3"/>
    <mergeCell ref="B3:C3"/>
  </mergeCells>
  <dataValidations count="1">
    <dataValidation type="list" allowBlank="1" showInputMessage="1" showErrorMessage="1" sqref="A3" xr:uid="{FBCA10FC-BAF2-4C6A-AE83-22C1B2AE7BD0}">
      <formula1>$P$2:$P$10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12DB-DF37-46F9-A181-65D55E9EF47B}">
  <dimension ref="A1:AH24"/>
  <sheetViews>
    <sheetView showGridLines="0" tabSelected="1" zoomScaleNormal="100" workbookViewId="0">
      <selection activeCell="P8" activeCellId="2" sqref="B8:B19 M8:M19 P8:P19"/>
    </sheetView>
  </sheetViews>
  <sheetFormatPr defaultColWidth="8.85546875" defaultRowHeight="14.45"/>
  <cols>
    <col min="1" max="1" width="9.7109375" style="1" customWidth="1"/>
    <col min="2" max="2" width="10.42578125" style="1" bestFit="1" customWidth="1"/>
    <col min="3" max="3" width="12" style="1" bestFit="1" customWidth="1"/>
    <col min="4" max="8" width="10.42578125" style="1" bestFit="1" customWidth="1"/>
    <col min="9" max="10" width="9.28515625" style="1" bestFit="1" customWidth="1"/>
    <col min="11" max="11" width="9.28515625" style="1" customWidth="1"/>
    <col min="12" max="12" width="9.28515625" style="1" bestFit="1" customWidth="1"/>
    <col min="13" max="13" width="12" style="1" bestFit="1" customWidth="1"/>
    <col min="14" max="14" width="12.85546875" style="1" bestFit="1" customWidth="1"/>
    <col min="15" max="15" width="10.42578125" style="1" bestFit="1" customWidth="1"/>
    <col min="16" max="16" width="14.7109375" style="1" customWidth="1"/>
    <col min="17" max="25" width="8.85546875" style="1"/>
    <col min="26" max="26" width="8.85546875" style="26"/>
    <col min="27" max="33" width="8.85546875" style="1"/>
    <col min="34" max="34" width="9.140625" customWidth="1"/>
    <col min="35" max="16384" width="8.85546875" style="1"/>
  </cols>
  <sheetData>
    <row r="1" spans="1:26" ht="22.15" customHeight="1">
      <c r="A1" s="110" t="s">
        <v>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26" ht="22.1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</row>
    <row r="3" spans="1:26" ht="22.9" customHeight="1">
      <c r="A3" s="103" t="s">
        <v>7</v>
      </c>
      <c r="B3" s="25"/>
      <c r="C3" s="116" t="s">
        <v>1</v>
      </c>
      <c r="D3" s="116"/>
      <c r="E3" s="111" t="s">
        <v>35</v>
      </c>
      <c r="F3" s="111"/>
      <c r="G3" s="111"/>
      <c r="H3" s="111" t="s">
        <v>3</v>
      </c>
      <c r="I3" s="111"/>
      <c r="J3" s="111"/>
      <c r="K3" s="111" t="s">
        <v>4</v>
      </c>
      <c r="L3" s="111"/>
      <c r="M3" s="111"/>
      <c r="N3" s="103"/>
      <c r="O3" s="116" t="s">
        <v>36</v>
      </c>
      <c r="P3" s="116"/>
      <c r="Z3" s="27" t="s">
        <v>7</v>
      </c>
    </row>
    <row r="4" spans="1:26" ht="14.45" customHeight="1">
      <c r="A4" s="121">
        <v>2026</v>
      </c>
      <c r="B4" s="24"/>
      <c r="C4" s="124">
        <f>SUMIF(Database!A:A,A4,Database!M:M)</f>
        <v>234266.21</v>
      </c>
      <c r="D4" s="124"/>
      <c r="E4" s="122">
        <f>AVERAGEIFS(Database!M:M,Database!A:A,A4,Database!M:M,"&gt;0")</f>
        <v>39044.368333333332</v>
      </c>
      <c r="F4" s="122"/>
      <c r="G4" s="122"/>
      <c r="H4" s="112">
        <f>SUMIF(Database!A:A,A4,Database!O:O)</f>
        <v>210000</v>
      </c>
      <c r="I4" s="112"/>
      <c r="J4" s="112"/>
      <c r="K4" s="114">
        <f>SUMIF(Database!A:A,A4,Database!N:N)</f>
        <v>60000</v>
      </c>
      <c r="L4" s="114"/>
      <c r="M4" s="114"/>
      <c r="N4" s="104"/>
      <c r="O4" s="117">
        <f>SUMIF(Database!A:A,A4,Database!P:P)</f>
        <v>270000</v>
      </c>
      <c r="P4" s="117"/>
      <c r="Z4" s="28">
        <v>2022</v>
      </c>
    </row>
    <row r="5" spans="1:26" ht="14.45" customHeight="1">
      <c r="A5" s="121"/>
      <c r="B5" s="34"/>
      <c r="C5" s="125"/>
      <c r="D5" s="125"/>
      <c r="E5" s="123"/>
      <c r="F5" s="123"/>
      <c r="G5" s="123"/>
      <c r="H5" s="113"/>
      <c r="I5" s="113"/>
      <c r="J5" s="113"/>
      <c r="K5" s="115"/>
      <c r="L5" s="115"/>
      <c r="M5" s="115"/>
      <c r="N5" s="39"/>
      <c r="O5" s="118"/>
      <c r="P5" s="118"/>
      <c r="Z5" s="28">
        <v>2023</v>
      </c>
    </row>
    <row r="6" spans="1:26">
      <c r="A6" s="107"/>
      <c r="B6" s="109"/>
      <c r="C6" s="107" t="s">
        <v>5</v>
      </c>
      <c r="D6" s="108"/>
      <c r="E6" s="108"/>
      <c r="F6" s="108"/>
      <c r="G6" s="108"/>
      <c r="H6" s="108"/>
      <c r="I6" s="108"/>
      <c r="J6" s="108"/>
      <c r="K6" s="108"/>
      <c r="L6" s="108"/>
      <c r="M6" s="109"/>
      <c r="N6" s="107" t="s">
        <v>6</v>
      </c>
      <c r="O6" s="108"/>
      <c r="P6" s="109"/>
      <c r="Z6" s="28">
        <v>2024</v>
      </c>
    </row>
    <row r="7" spans="1:26">
      <c r="A7" s="37" t="s">
        <v>7</v>
      </c>
      <c r="B7" s="38" t="s">
        <v>8</v>
      </c>
      <c r="C7" s="10" t="s">
        <v>9</v>
      </c>
      <c r="D7" s="11" t="s">
        <v>10</v>
      </c>
      <c r="E7" s="12" t="s">
        <v>11</v>
      </c>
      <c r="F7" s="12" t="s">
        <v>12</v>
      </c>
      <c r="G7" s="10" t="s">
        <v>13</v>
      </c>
      <c r="H7" s="11" t="s">
        <v>14</v>
      </c>
      <c r="I7" s="12" t="s">
        <v>15</v>
      </c>
      <c r="J7" s="10" t="s">
        <v>16</v>
      </c>
      <c r="K7" s="99" t="s">
        <v>37</v>
      </c>
      <c r="L7" s="35" t="s">
        <v>17</v>
      </c>
      <c r="M7" s="10" t="s">
        <v>18</v>
      </c>
      <c r="N7" s="100" t="s">
        <v>38</v>
      </c>
      <c r="O7" s="55" t="s">
        <v>20</v>
      </c>
      <c r="P7" s="55" t="s">
        <v>36</v>
      </c>
      <c r="Q7" s="56"/>
      <c r="Z7" s="28">
        <v>2025</v>
      </c>
    </row>
    <row r="8" spans="1:26">
      <c r="A8" s="40">
        <f>$A$4</f>
        <v>2026</v>
      </c>
      <c r="B8" s="29" t="s">
        <v>21</v>
      </c>
      <c r="C8" s="32">
        <f>SUMIFS(Database!$C:$C,Database!$A:$A,$A$4,Database!$B:$B,$B8)</f>
        <v>0</v>
      </c>
      <c r="D8" s="33">
        <f>SUMIFS(Database!$D:$D,Database!$A:$A,$A$4,Database!$B:$B,$B8)</f>
        <v>14.25</v>
      </c>
      <c r="E8" s="32">
        <f>SUMIFS(Database!$E:$E,Database!$A:$A,$A$4,Database!$B:$B,$B8)</f>
        <v>16919.21</v>
      </c>
      <c r="F8" s="33">
        <f>SUMIFS(Database!$F:$F,Database!$A:$A,$A$4,Database!$B:$B,$B8)</f>
        <v>0</v>
      </c>
      <c r="G8" s="32">
        <f>SUMIFS(Database!$G:$G,Database!$A:$A,$A$4,Database!$B:$B,$B8)</f>
        <v>119</v>
      </c>
      <c r="H8" s="33">
        <f>SUMIFS(Database!$H:$H,Database!$A:$A,$A$4,Database!$B:$B,$B8)</f>
        <v>0</v>
      </c>
      <c r="I8" s="32">
        <f>SUMIFS(Database!$I:$I,Database!$A:$A,$A$4,Database!$B:$B,$B8)</f>
        <v>487.55</v>
      </c>
      <c r="J8" s="33">
        <f>SUMIFS(Database!$J:$J,Database!$A:$A,$A$4,Database!$B:$B,$B8)</f>
        <v>0</v>
      </c>
      <c r="K8" s="32">
        <f>SUMIFS(Database!$K:$K,Database!$A:$A,$A$4,Database!$B:$B,$B8)</f>
        <v>0</v>
      </c>
      <c r="L8" s="33">
        <f>SUMIFS(Database!$L:$L,Database!$A:$A,$A$4,Database!$B:$B,$B8)</f>
        <v>0</v>
      </c>
      <c r="M8" s="59">
        <f>SUMIFS(Database!$M:$M,Database!$A:$A,$A$4,Database!$B:$B,$B8)</f>
        <v>17540.009999999998</v>
      </c>
      <c r="N8" s="33">
        <f>SUMIFS(Database!$N:$N,Database!$A:$A,$A$4,Database!$B:$B,$B8)</f>
        <v>10000</v>
      </c>
      <c r="O8" s="36">
        <f>SUMIFS(Database!$O:$O,Database!$A:$A,$A$4,Database!$B:$B,$B8)</f>
        <v>100000</v>
      </c>
      <c r="P8" s="66">
        <f>SUMIFS(Database!$P:$P,Database!$A:$A,$A8,Database!$B:$B,$B8)</f>
        <v>110000</v>
      </c>
      <c r="Z8" s="28">
        <v>2026</v>
      </c>
    </row>
    <row r="9" spans="1:26">
      <c r="A9" s="40">
        <f t="shared" ref="A9:A19" si="0">$A$4</f>
        <v>2026</v>
      </c>
      <c r="B9" s="30" t="s">
        <v>22</v>
      </c>
      <c r="C9" s="32">
        <f>SUMIFS(Database!$C:$C,Database!$A:$A,$A$4,Database!$B:$B,$B9)</f>
        <v>0</v>
      </c>
      <c r="D9" s="33">
        <f>SUMIFS(Database!$D:$D,Database!$A:$A,$A$4,Database!$B:$B,$B9)</f>
        <v>234.25</v>
      </c>
      <c r="E9" s="32">
        <f>SUMIFS(Database!$E:$E,Database!$A:$A,$A$4,Database!$B:$B,$B9)</f>
        <v>15188.65</v>
      </c>
      <c r="F9" s="33">
        <f>SUMIFS(Database!$F:$F,Database!$A:$A,$A$4,Database!$B:$B,$B9)</f>
        <v>0</v>
      </c>
      <c r="G9" s="32">
        <f>SUMIFS(Database!$G:$G,Database!$A:$A,$A$4,Database!$B:$B,$B9)</f>
        <v>119</v>
      </c>
      <c r="H9" s="33">
        <f>SUMIFS(Database!$H:$H,Database!$A:$A,$A$4,Database!$B:$B,$B9)</f>
        <v>0</v>
      </c>
      <c r="I9" s="32">
        <f>SUMIFS(Database!$I:$I,Database!$A:$A,$A$4,Database!$B:$B,$B9)</f>
        <v>0</v>
      </c>
      <c r="J9" s="33">
        <f>SUMIFS(Database!$J:$J,Database!$A:$A,$A$4,Database!$B:$B,$B9)</f>
        <v>0</v>
      </c>
      <c r="K9" s="32">
        <f>SUMIFS(Database!$K:$K,Database!$A:$A,$A$4,Database!$B:$B,$B9)</f>
        <v>0</v>
      </c>
      <c r="L9" s="33">
        <f>SUMIFS(Database!$L:$L,Database!$A:$A,$A$4,Database!$B:$B,$B9)</f>
        <v>0</v>
      </c>
      <c r="M9" s="59">
        <f>SUMIFS(Database!$M:$M,Database!$A:$A,$A$4,Database!$B:$B,$B9)</f>
        <v>15541.9</v>
      </c>
      <c r="N9" s="33">
        <f>SUMIFS(Database!$N:$N,Database!$A:$A,$A$4,Database!$B:$B,$B9)</f>
        <v>10000</v>
      </c>
      <c r="O9" s="36">
        <f>SUMIFS(Database!$O:$O,Database!$A:$A,$A$4,Database!$B:$B,$B9)</f>
        <v>30000</v>
      </c>
      <c r="P9" s="66">
        <f>SUMIFS(Database!$P:$P,Database!$A:$A,$A9,Database!$B:$B,$B9)</f>
        <v>40000</v>
      </c>
      <c r="Z9" s="28">
        <v>2027</v>
      </c>
    </row>
    <row r="10" spans="1:26">
      <c r="A10" s="40">
        <f t="shared" si="0"/>
        <v>2026</v>
      </c>
      <c r="B10" s="30" t="s">
        <v>23</v>
      </c>
      <c r="C10" s="32">
        <f>SUMIFS(Database!$C:$C,Database!$A:$A,$A$4,Database!$B:$B,$B10)</f>
        <v>10000</v>
      </c>
      <c r="D10" s="33">
        <f>SUMIFS(Database!$D:$D,Database!$A:$A,$A$4,Database!$B:$B,$B10)</f>
        <v>8535.4</v>
      </c>
      <c r="E10" s="32">
        <f>SUMIFS(Database!$E:$E,Database!$A:$A,$A$4,Database!$B:$B,$B10)</f>
        <v>36098.480000000003</v>
      </c>
      <c r="F10" s="33">
        <f>SUMIFS(Database!$F:$F,Database!$A:$A,$A$4,Database!$B:$B,$B10)</f>
        <v>960</v>
      </c>
      <c r="G10" s="32">
        <f>SUMIFS(Database!$G:$G,Database!$A:$A,$A$4,Database!$B:$B,$B10)</f>
        <v>-1081</v>
      </c>
      <c r="H10" s="33">
        <f>SUMIFS(Database!$H:$H,Database!$A:$A,$A$4,Database!$B:$B,$B10)</f>
        <v>0</v>
      </c>
      <c r="I10" s="32">
        <f>SUMIFS(Database!$I:$I,Database!$A:$A,$A$4,Database!$B:$B,$B10)</f>
        <v>7996.63</v>
      </c>
      <c r="J10" s="33">
        <f>SUMIFS(Database!$J:$J,Database!$A:$A,$A$4,Database!$B:$B,$B10)</f>
        <v>0</v>
      </c>
      <c r="K10" s="32">
        <f>SUMIFS(Database!$K:$K,Database!$A:$A,$A$4,Database!$B:$B,$B10)</f>
        <v>0</v>
      </c>
      <c r="L10" s="33">
        <f>SUMIFS(Database!$L:$L,Database!$A:$A,$A$4,Database!$B:$B,$B10)</f>
        <v>0</v>
      </c>
      <c r="M10" s="59">
        <f>SUMIFS(Database!$M:$M,Database!$A:$A,$A$4,Database!$B:$B,$B10)</f>
        <v>62509.51</v>
      </c>
      <c r="N10" s="33">
        <f>SUMIFS(Database!$N:$N,Database!$A:$A,$A$4,Database!$B:$B,$B10)</f>
        <v>10000</v>
      </c>
      <c r="O10" s="36">
        <f>SUMIFS(Database!$O:$O,Database!$A:$A,$A$4,Database!$B:$B,$B10)</f>
        <v>40000</v>
      </c>
      <c r="P10" s="66">
        <f>SUMIFS(Database!$P:$P,Database!$A:$A,$A10,Database!$B:$B,$B10)</f>
        <v>50000</v>
      </c>
      <c r="Z10" s="28">
        <v>2028</v>
      </c>
    </row>
    <row r="11" spans="1:26">
      <c r="A11" s="40">
        <f t="shared" si="0"/>
        <v>2026</v>
      </c>
      <c r="B11" s="30" t="s">
        <v>24</v>
      </c>
      <c r="C11" s="32">
        <f>SUMIFS(Database!$C:$C,Database!$A:$A,$A$4,Database!$B:$B,$B11)</f>
        <v>16000</v>
      </c>
      <c r="D11" s="33">
        <f>SUMIFS(Database!$D:$D,Database!$A:$A,$A$4,Database!$B:$B,$B11)</f>
        <v>765</v>
      </c>
      <c r="E11" s="32">
        <f>SUMIFS(Database!$E:$E,Database!$A:$A,$A$4,Database!$B:$B,$B11)</f>
        <v>28353.87</v>
      </c>
      <c r="F11" s="33">
        <f>SUMIFS(Database!$F:$F,Database!$A:$A,$A$4,Database!$B:$B,$B11)</f>
        <v>1298</v>
      </c>
      <c r="G11" s="32">
        <f>SUMIFS(Database!$G:$G,Database!$A:$A,$A$4,Database!$B:$B,$B11)</f>
        <v>5466</v>
      </c>
      <c r="H11" s="33">
        <f>SUMIFS(Database!$H:$H,Database!$A:$A,$A$4,Database!$B:$B,$B11)</f>
        <v>18271</v>
      </c>
      <c r="I11" s="32">
        <f>SUMIFS(Database!$I:$I,Database!$A:$A,$A$4,Database!$B:$B,$B11)</f>
        <v>809.25</v>
      </c>
      <c r="J11" s="33">
        <f>SUMIFS(Database!$J:$J,Database!$A:$A,$A$4,Database!$B:$B,$B11)</f>
        <v>170</v>
      </c>
      <c r="K11" s="32">
        <f>SUMIFS(Database!$K:$K,Database!$A:$A,$A$4,Database!$B:$B,$B11)</f>
        <v>0</v>
      </c>
      <c r="L11" s="33">
        <f>SUMIFS(Database!$L:$L,Database!$A:$A,$A$4,Database!$B:$B,$B11)</f>
        <v>0</v>
      </c>
      <c r="M11" s="59">
        <f>SUMIFS(Database!$M:$M,Database!$A:$A,$A$4,Database!$B:$B,$B11)</f>
        <v>71133.119999999995</v>
      </c>
      <c r="N11" s="33">
        <f>SUMIFS(Database!$N:$N,Database!$A:$A,$A$4,Database!$B:$B,$B11)</f>
        <v>15000</v>
      </c>
      <c r="O11" s="36">
        <f>SUMIFS(Database!$O:$O,Database!$A:$A,$A$4,Database!$B:$B,$B11)</f>
        <v>3000</v>
      </c>
      <c r="P11" s="66">
        <f>SUMIFS(Database!$P:$P,Database!$A:$A,$A11,Database!$B:$B,$B11)</f>
        <v>18000</v>
      </c>
      <c r="Z11" s="28">
        <v>2029</v>
      </c>
    </row>
    <row r="12" spans="1:26">
      <c r="A12" s="40">
        <f t="shared" si="0"/>
        <v>2026</v>
      </c>
      <c r="B12" s="30" t="s">
        <v>25</v>
      </c>
      <c r="C12" s="32">
        <f>SUMIFS(Database!$C:$C,Database!$A:$A,$A$4,Database!$B:$B,$B12)</f>
        <v>16000</v>
      </c>
      <c r="D12" s="33">
        <f>SUMIFS(Database!$D:$D,Database!$A:$A,$A$4,Database!$B:$B,$B12)</f>
        <v>419.1</v>
      </c>
      <c r="E12" s="32">
        <f>SUMIFS(Database!$E:$E,Database!$A:$A,$A$4,Database!$B:$B,$B12)</f>
        <v>19759.59</v>
      </c>
      <c r="F12" s="33">
        <f>SUMIFS(Database!$F:$F,Database!$A:$A,$A$4,Database!$B:$B,$B12)</f>
        <v>1255</v>
      </c>
      <c r="G12" s="32">
        <f>SUMIFS(Database!$G:$G,Database!$A:$A,$A$4,Database!$B:$B,$B12)</f>
        <v>5299</v>
      </c>
      <c r="H12" s="33">
        <f>SUMIFS(Database!$H:$H,Database!$A:$A,$A$4,Database!$B:$B,$B12)</f>
        <v>0</v>
      </c>
      <c r="I12" s="32">
        <f>SUMIFS(Database!$I:$I,Database!$A:$A,$A$4,Database!$B:$B,$B12)</f>
        <v>4879</v>
      </c>
      <c r="J12" s="33">
        <f>SUMIFS(Database!$J:$J,Database!$A:$A,$A$4,Database!$B:$B,$B12)</f>
        <v>1125</v>
      </c>
      <c r="K12" s="32">
        <f>SUMIFS(Database!$K:$K,Database!$A:$A,$A$4,Database!$B:$B,$B12)</f>
        <v>3947</v>
      </c>
      <c r="L12" s="33">
        <f>SUMIFS(Database!$L:$L,Database!$A:$A,$A$4,Database!$B:$B,$B12)</f>
        <v>0</v>
      </c>
      <c r="M12" s="59">
        <f>SUMIFS(Database!$M:$M,Database!$A:$A,$A$4,Database!$B:$B,$B12)</f>
        <v>52683.69</v>
      </c>
      <c r="N12" s="33">
        <f>SUMIFS(Database!$N:$N,Database!$A:$A,$A$4,Database!$B:$B,$B12)</f>
        <v>15000</v>
      </c>
      <c r="O12" s="36">
        <f>SUMIFS(Database!$O:$O,Database!$A:$A,$A$4,Database!$B:$B,$B12)</f>
        <v>37000</v>
      </c>
      <c r="P12" s="66">
        <f>SUMIFS(Database!$P:$P,Database!$A:$A,$A12,Database!$B:$B,$B12)</f>
        <v>52000</v>
      </c>
      <c r="Z12" s="28">
        <v>2030</v>
      </c>
    </row>
    <row r="13" spans="1:26">
      <c r="A13" s="40">
        <f t="shared" si="0"/>
        <v>2026</v>
      </c>
      <c r="B13" s="30" t="s">
        <v>26</v>
      </c>
      <c r="C13" s="32">
        <f>SUMIFS(Database!$C:$C,Database!$A:$A,$A$4,Database!$B:$B,$B13)</f>
        <v>16000</v>
      </c>
      <c r="D13" s="33">
        <f>SUMIFS(Database!$D:$D,Database!$A:$A,$A$4,Database!$B:$B,$B13)</f>
        <v>173</v>
      </c>
      <c r="E13" s="32">
        <f>SUMIFS(Database!$E:$E,Database!$A:$A,$A$4,Database!$B:$B,$B13)</f>
        <v>-3200.2</v>
      </c>
      <c r="F13" s="33">
        <f>SUMIFS(Database!$F:$F,Database!$A:$A,$A$4,Database!$B:$B,$B13)</f>
        <v>175</v>
      </c>
      <c r="G13" s="32">
        <f>SUMIFS(Database!$G:$G,Database!$A:$A,$A$4,Database!$B:$B,$B13)</f>
        <v>0</v>
      </c>
      <c r="H13" s="33">
        <f>SUMIFS(Database!$H:$H,Database!$A:$A,$A$4,Database!$B:$B,$B13)</f>
        <v>0</v>
      </c>
      <c r="I13" s="32">
        <f>SUMIFS(Database!$I:$I,Database!$A:$A,$A$4,Database!$B:$B,$B13)</f>
        <v>687.36</v>
      </c>
      <c r="J13" s="33">
        <f>SUMIFS(Database!$J:$J,Database!$A:$A,$A$4,Database!$B:$B,$B13)</f>
        <v>1022.82</v>
      </c>
      <c r="K13" s="32">
        <f>SUMIFS(Database!$K:$K,Database!$A:$A,$A$4,Database!$B:$B,$B13)</f>
        <v>0</v>
      </c>
      <c r="L13" s="33">
        <f>SUMIFS(Database!$L:$L,Database!$A:$A,$A$4,Database!$B:$B,$B13)</f>
        <v>0</v>
      </c>
      <c r="M13" s="59">
        <f>SUMIFS(Database!$M:$M,Database!$A:$A,$A$4,Database!$B:$B,$B13)</f>
        <v>14857.98</v>
      </c>
      <c r="N13" s="33">
        <f>SUMIFS(Database!$N:$N,Database!$A:$A,$A$4,Database!$B:$B,$B13)</f>
        <v>0</v>
      </c>
      <c r="O13" s="36">
        <f>SUMIFS(Database!$O:$O,Database!$A:$A,$A$4,Database!$B:$B,$B13)</f>
        <v>0</v>
      </c>
      <c r="P13" s="66">
        <f>SUMIFS(Database!$P:$P,Database!$A:$A,$A13,Database!$B:$B,$B13)</f>
        <v>0</v>
      </c>
    </row>
    <row r="14" spans="1:26">
      <c r="A14" s="40">
        <f t="shared" si="0"/>
        <v>2026</v>
      </c>
      <c r="B14" s="30" t="s">
        <v>27</v>
      </c>
      <c r="C14" s="32">
        <f>SUMIFS(Database!$C:$C,Database!$A:$A,$A$4,Database!$B:$B,$B14)</f>
        <v>0</v>
      </c>
      <c r="D14" s="33">
        <f>SUMIFS(Database!$D:$D,Database!$A:$A,$A$4,Database!$B:$B,$B14)</f>
        <v>0</v>
      </c>
      <c r="E14" s="32">
        <f>SUMIFS(Database!$E:$E,Database!$A:$A,$A$4,Database!$B:$B,$B14)</f>
        <v>0</v>
      </c>
      <c r="F14" s="33">
        <f>SUMIFS(Database!$F:$F,Database!$A:$A,$A$4,Database!$B:$B,$B14)</f>
        <v>0</v>
      </c>
      <c r="G14" s="32">
        <f>SUMIFS(Database!$G:$G,Database!$A:$A,$A$4,Database!$B:$B,$B14)</f>
        <v>0</v>
      </c>
      <c r="H14" s="33">
        <f>SUMIFS(Database!$H:$H,Database!$A:$A,$A$4,Database!$B:$B,$B14)</f>
        <v>0</v>
      </c>
      <c r="I14" s="32">
        <f>SUMIFS(Database!$I:$I,Database!$A:$A,$A$4,Database!$B:$B,$B14)</f>
        <v>0</v>
      </c>
      <c r="J14" s="33">
        <f>SUMIFS(Database!$J:$J,Database!$A:$A,$A$4,Database!$B:$B,$B14)</f>
        <v>0</v>
      </c>
      <c r="K14" s="32">
        <f>SUMIFS(Database!$K:$K,Database!$A:$A,$A$4,Database!$B:$B,$B14)</f>
        <v>0</v>
      </c>
      <c r="L14" s="33">
        <f>SUMIFS(Database!$L:$L,Database!$A:$A,$A$4,Database!$B:$B,$B14)</f>
        <v>0</v>
      </c>
      <c r="M14" s="59">
        <f>SUMIFS(Database!$M:$M,Database!$A:$A,$A$4,Database!$B:$B,$B14)</f>
        <v>0</v>
      </c>
      <c r="N14" s="33">
        <f>SUMIFS(Database!$N:$N,Database!$A:$A,$A$4,Database!$B:$B,$B14)</f>
        <v>0</v>
      </c>
      <c r="O14" s="36">
        <f>SUMIFS(Database!$O:$O,Database!$A:$A,$A$4,Database!$B:$B,$B14)</f>
        <v>0</v>
      </c>
      <c r="P14" s="66">
        <v>0</v>
      </c>
    </row>
    <row r="15" spans="1:26">
      <c r="A15" s="40">
        <f t="shared" si="0"/>
        <v>2026</v>
      </c>
      <c r="B15" s="30" t="s">
        <v>28</v>
      </c>
      <c r="C15" s="32">
        <f>SUMIFS(Database!$C:$C,Database!$A:$A,$A$4,Database!$B:$B,$B15)</f>
        <v>0</v>
      </c>
      <c r="D15" s="33">
        <f>SUMIFS(Database!$D:$D,Database!$A:$A,$A$4,Database!$B:$B,$B15)</f>
        <v>0</v>
      </c>
      <c r="E15" s="32">
        <f>SUMIFS(Database!$E:$E,Database!$A:$A,$A$4,Database!$B:$B,$B15)</f>
        <v>0</v>
      </c>
      <c r="F15" s="33">
        <f>SUMIFS(Database!$F:$F,Database!$A:$A,$A$4,Database!$B:$B,$B15)</f>
        <v>0</v>
      </c>
      <c r="G15" s="32">
        <f>SUMIFS(Database!$G:$G,Database!$A:$A,$A$4,Database!$B:$B,$B15)</f>
        <v>0</v>
      </c>
      <c r="H15" s="33">
        <f>SUMIFS(Database!$H:$H,Database!$A:$A,$A$4,Database!$B:$B,$B15)</f>
        <v>0</v>
      </c>
      <c r="I15" s="32">
        <f>SUMIFS(Database!$I:$I,Database!$A:$A,$A$4,Database!$B:$B,$B15)</f>
        <v>0</v>
      </c>
      <c r="J15" s="33">
        <f>SUMIFS(Database!$J:$J,Database!$A:$A,$A$4,Database!$B:$B,$B15)</f>
        <v>0</v>
      </c>
      <c r="K15" s="32">
        <f>SUMIFS(Database!$K:$K,Database!$A:$A,$A$4,Database!$B:$B,$B15)</f>
        <v>0</v>
      </c>
      <c r="L15" s="33">
        <f>SUMIFS(Database!$L:$L,Database!$A:$A,$A$4,Database!$B:$B,$B15)</f>
        <v>0</v>
      </c>
      <c r="M15" s="59">
        <f>SUMIFS(Database!$M:$M,Database!$A:$A,$A$4,Database!$B:$B,$B15)</f>
        <v>0</v>
      </c>
      <c r="N15" s="33">
        <f>SUMIFS(Database!$N:$N,Database!$A:$A,$A$4,Database!$B:$B,$B15)</f>
        <v>0</v>
      </c>
      <c r="O15" s="36">
        <f>SUMIFS(Database!$O:$O,Database!$A:$A,$A$4,Database!$B:$B,$B15)</f>
        <v>0</v>
      </c>
      <c r="P15" s="66">
        <f>SUMIFS(Database!$P:$P,Database!$A:$A,$A15,Database!$B:$B,$B15)</f>
        <v>0</v>
      </c>
    </row>
    <row r="16" spans="1:26">
      <c r="A16" s="40">
        <f t="shared" si="0"/>
        <v>2026</v>
      </c>
      <c r="B16" s="30" t="s">
        <v>29</v>
      </c>
      <c r="C16" s="32">
        <f>SUMIFS(Database!$C:$C,Database!$A:$A,$A$4,Database!$B:$B,$B16)</f>
        <v>0</v>
      </c>
      <c r="D16" s="33">
        <f>SUMIFS(Database!$D:$D,Database!$A:$A,$A$4,Database!$B:$B,$B16)</f>
        <v>0</v>
      </c>
      <c r="E16" s="32">
        <f>SUMIFS(Database!$E:$E,Database!$A:$A,$A$4,Database!$B:$B,$B16)</f>
        <v>0</v>
      </c>
      <c r="F16" s="33">
        <f>SUMIFS(Database!$F:$F,Database!$A:$A,$A$4,Database!$B:$B,$B16)</f>
        <v>0</v>
      </c>
      <c r="G16" s="32">
        <f>SUMIFS(Database!$G:$G,Database!$A:$A,$A$4,Database!$B:$B,$B16)</f>
        <v>0</v>
      </c>
      <c r="H16" s="33">
        <f>SUMIFS(Database!$H:$H,Database!$A:$A,$A$4,Database!$B:$B,$B16)</f>
        <v>0</v>
      </c>
      <c r="I16" s="32">
        <f>SUMIFS(Database!$I:$I,Database!$A:$A,$A$4,Database!$B:$B,$B16)</f>
        <v>0</v>
      </c>
      <c r="J16" s="33">
        <f>SUMIFS(Database!$J:$J,Database!$A:$A,$A$4,Database!$B:$B,$B16)</f>
        <v>0</v>
      </c>
      <c r="K16" s="32">
        <f>SUMIFS(Database!$K:$K,Database!$A:$A,$A$4,Database!$B:$B,$B16)</f>
        <v>0</v>
      </c>
      <c r="L16" s="33">
        <f>SUMIFS(Database!$L:$L,Database!$A:$A,$A$4,Database!$B:$B,$B16)</f>
        <v>0</v>
      </c>
      <c r="M16" s="59">
        <f>SUMIFS(Database!$M:$M,Database!$A:$A,$A$4,Database!$B:$B,$B16)</f>
        <v>0</v>
      </c>
      <c r="N16" s="33">
        <f>SUMIFS(Database!$N:$N,Database!$A:$A,$A$4,Database!$B:$B,$B16)</f>
        <v>0</v>
      </c>
      <c r="O16" s="36">
        <f>SUMIFS(Database!$O:$O,Database!$A:$A,$A$4,Database!$B:$B,$B16)</f>
        <v>0</v>
      </c>
      <c r="P16" s="66">
        <f>SUMIFS(Database!$P:$P,Database!$A:$A,$A16,Database!$B:$B,$B16)</f>
        <v>0</v>
      </c>
    </row>
    <row r="17" spans="1:16">
      <c r="A17" s="40">
        <f t="shared" si="0"/>
        <v>2026</v>
      </c>
      <c r="B17" s="30" t="s">
        <v>30</v>
      </c>
      <c r="C17" s="32">
        <f>SUMIFS(Database!$C:$C,Database!$A:$A,$A$4,Database!$B:$B,$B17)</f>
        <v>0</v>
      </c>
      <c r="D17" s="33">
        <f>SUMIFS(Database!$D:$D,Database!$A:$A,$A$4,Database!$B:$B,$B17)</f>
        <v>0</v>
      </c>
      <c r="E17" s="32">
        <f>SUMIFS(Database!$E:$E,Database!$A:$A,$A$4,Database!$B:$B,$B17)</f>
        <v>0</v>
      </c>
      <c r="F17" s="33">
        <f>SUMIFS(Database!$F:$F,Database!$A:$A,$A$4,Database!$B:$B,$B17)</f>
        <v>0</v>
      </c>
      <c r="G17" s="32">
        <f>SUMIFS(Database!$G:$G,Database!$A:$A,$A$4,Database!$B:$B,$B17)</f>
        <v>0</v>
      </c>
      <c r="H17" s="33">
        <f>SUMIFS(Database!$H:$H,Database!$A:$A,$A$4,Database!$B:$B,$B17)</f>
        <v>0</v>
      </c>
      <c r="I17" s="32">
        <f>SUMIFS(Database!$I:$I,Database!$A:$A,$A$4,Database!$B:$B,$B17)</f>
        <v>0</v>
      </c>
      <c r="J17" s="33">
        <f>SUMIFS(Database!$J:$J,Database!$A:$A,$A$4,Database!$B:$B,$B17)</f>
        <v>0</v>
      </c>
      <c r="K17" s="32">
        <f>SUMIFS(Database!$K:$K,Database!$A:$A,$A$4,Database!$B:$B,$B17)</f>
        <v>0</v>
      </c>
      <c r="L17" s="33">
        <f>SUMIFS(Database!$L:$L,Database!$A:$A,$A$4,Database!$B:$B,$B17)</f>
        <v>0</v>
      </c>
      <c r="M17" s="59">
        <f>SUMIFS(Database!$M:$M,Database!$A:$A,$A$4,Database!$B:$B,$B17)</f>
        <v>0</v>
      </c>
      <c r="N17" s="33">
        <f>SUMIFS(Database!$N:$N,Database!$A:$A,$A$4,Database!$B:$B,$B17)</f>
        <v>0</v>
      </c>
      <c r="O17" s="36">
        <f>SUMIFS(Database!$O:$O,Database!$A:$A,$A$4,Database!$B:$B,$B17)</f>
        <v>0</v>
      </c>
      <c r="P17" s="66">
        <f>SUMIFS(Database!$P:$P,Database!$A:$A,$A17,Database!$B:$B,$B17)</f>
        <v>0</v>
      </c>
    </row>
    <row r="18" spans="1:16">
      <c r="A18" s="40">
        <f t="shared" si="0"/>
        <v>2026</v>
      </c>
      <c r="B18" s="30" t="s">
        <v>31</v>
      </c>
      <c r="C18" s="32">
        <f>SUMIFS(Database!$C:$C,Database!$A:$A,$A$4,Database!$B:$B,$B18)</f>
        <v>0</v>
      </c>
      <c r="D18" s="33">
        <f>SUMIFS(Database!$D:$D,Database!$A:$A,$A$4,Database!$B:$B,$B18)</f>
        <v>0</v>
      </c>
      <c r="E18" s="32">
        <f>SUMIFS(Database!$E:$E,Database!$A:$A,$A$4,Database!$B:$B,$B18)</f>
        <v>0</v>
      </c>
      <c r="F18" s="33">
        <f>SUMIFS(Database!$F:$F,Database!$A:$A,$A$4,Database!$B:$B,$B18)</f>
        <v>0</v>
      </c>
      <c r="G18" s="32">
        <f>SUMIFS(Database!$G:$G,Database!$A:$A,$A$4,Database!$B:$B,$B18)</f>
        <v>0</v>
      </c>
      <c r="H18" s="33">
        <f>SUMIFS(Database!$H:$H,Database!$A:$A,$A$4,Database!$B:$B,$B18)</f>
        <v>0</v>
      </c>
      <c r="I18" s="32">
        <f>SUMIFS(Database!$I:$I,Database!$A:$A,$A$4,Database!$B:$B,$B18)</f>
        <v>0</v>
      </c>
      <c r="J18" s="33">
        <f>SUMIFS(Database!$J:$J,Database!$A:$A,$A$4,Database!$B:$B,$B18)</f>
        <v>0</v>
      </c>
      <c r="K18" s="32">
        <f>SUMIFS(Database!$K:$K,Database!$A:$A,$A$4,Database!$B:$B,$B18)</f>
        <v>0</v>
      </c>
      <c r="L18" s="33">
        <f>SUMIFS(Database!$L:$L,Database!$A:$A,$A$4,Database!$B:$B,$B18)</f>
        <v>0</v>
      </c>
      <c r="M18" s="59">
        <f>SUMIFS(Database!$M:$M,Database!$A:$A,$A$4,Database!$B:$B,$B18)</f>
        <v>0</v>
      </c>
      <c r="N18" s="33">
        <f>SUMIFS(Database!$N:$N,Database!$A:$A,$A$4,Database!$B:$B,$B18)</f>
        <v>0</v>
      </c>
      <c r="O18" s="36">
        <f>SUMIFS(Database!$O:$O,Database!$A:$A,$A$4,Database!$B:$B,$B18)</f>
        <v>0</v>
      </c>
      <c r="P18" s="66">
        <f>SUMIFS(Database!$P:$P,Database!$A:$A,$A18,Database!$B:$B,$B18)</f>
        <v>0</v>
      </c>
    </row>
    <row r="19" spans="1:16">
      <c r="A19" s="23">
        <f t="shared" si="0"/>
        <v>2026</v>
      </c>
      <c r="B19" s="31" t="s">
        <v>32</v>
      </c>
      <c r="C19" s="32">
        <f>SUMIFS(Database!$C:$C,Database!$A:$A,$A$4,Database!$B:$B,$B19)</f>
        <v>0</v>
      </c>
      <c r="D19" s="33">
        <f>SUMIFS(Database!$D:$D,Database!$A:$A,$A$4,Database!$B:$B,$B19)</f>
        <v>0</v>
      </c>
      <c r="E19" s="32">
        <f>SUMIFS(Database!$E:$E,Database!$A:$A,$A$4,Database!$B:$B,$B19)</f>
        <v>0</v>
      </c>
      <c r="F19" s="33">
        <f>SUMIFS(Database!$F:$F,Database!$A:$A,$A$4,Database!$B:$B,$B19)</f>
        <v>0</v>
      </c>
      <c r="G19" s="32">
        <f>SUMIFS(Database!$G:$G,Database!$A:$A,$A$4,Database!$B:$B,$B19)</f>
        <v>0</v>
      </c>
      <c r="H19" s="33">
        <f>SUMIFS(Database!$H:$H,Database!$A:$A,$A$4,Database!$B:$B,$B19)</f>
        <v>0</v>
      </c>
      <c r="I19" s="32">
        <f>SUMIFS(Database!$I:$I,Database!$A:$A,$A$4,Database!$B:$B,$B19)</f>
        <v>0</v>
      </c>
      <c r="J19" s="33">
        <f>SUMIFS(Database!$J:$J,Database!$A:$A,$A$4,Database!$B:$B,$B19)</f>
        <v>0</v>
      </c>
      <c r="K19" s="32">
        <f>SUMIFS(Database!$K:$K,Database!$A:$A,$A$4,Database!$B:$B,$B19)</f>
        <v>0</v>
      </c>
      <c r="L19" s="33">
        <f>SUMIFS(Database!$L:$L,Database!$A:$A,$A$4,Database!$B:$B,$B19)</f>
        <v>0</v>
      </c>
      <c r="M19" s="59">
        <f>SUMIFS(Database!$M:$M,Database!$A:$A,$A$4,Database!$B:$B,$B19)</f>
        <v>0</v>
      </c>
      <c r="N19" s="33">
        <f>SUMIFS(Database!$N:$N,Database!$A:$A,$A$4,Database!$B:$B,$B19)</f>
        <v>0</v>
      </c>
      <c r="O19" s="36">
        <f>SUMIFS(Database!$O:$O,Database!$A:$A,$A$4,Database!$B:$B,$B19)</f>
        <v>0</v>
      </c>
      <c r="P19" s="66">
        <f>SUMIFS(Database!$P:$P,Database!$A:$A,$A19,Database!$B:$B,$B19)</f>
        <v>0</v>
      </c>
    </row>
    <row r="20" spans="1:16">
      <c r="A20" s="119"/>
      <c r="B20" s="120"/>
      <c r="C20" s="101">
        <f t="shared" ref="C20:K20" si="1">SUM(C8:C19)</f>
        <v>58000</v>
      </c>
      <c r="D20" s="101">
        <f t="shared" si="1"/>
        <v>10141</v>
      </c>
      <c r="E20" s="101">
        <f t="shared" si="1"/>
        <v>113119.59999999999</v>
      </c>
      <c r="F20" s="101">
        <f t="shared" si="1"/>
        <v>3688</v>
      </c>
      <c r="G20" s="101">
        <f t="shared" si="1"/>
        <v>9922</v>
      </c>
      <c r="H20" s="101">
        <f t="shared" si="1"/>
        <v>18271</v>
      </c>
      <c r="I20" s="101">
        <f t="shared" si="1"/>
        <v>14859.79</v>
      </c>
      <c r="J20" s="101">
        <f t="shared" si="1"/>
        <v>2317.8200000000002</v>
      </c>
      <c r="K20" s="101">
        <f t="shared" si="1"/>
        <v>3947</v>
      </c>
      <c r="L20" s="101">
        <f>SUM(L8:L19)</f>
        <v>0</v>
      </c>
      <c r="M20" s="57">
        <f>SUM(M8:M19)</f>
        <v>234266.21</v>
      </c>
      <c r="N20" s="101">
        <f>SUM(N8:N19)</f>
        <v>60000</v>
      </c>
      <c r="O20" s="101">
        <f>SUM(O8:O19)</f>
        <v>210000</v>
      </c>
      <c r="P20" s="58">
        <f>SUM(P8:P19)</f>
        <v>270000</v>
      </c>
    </row>
    <row r="21" spans="1:16">
      <c r="A21" s="95" t="s">
        <v>39</v>
      </c>
    </row>
    <row r="24" spans="1:16">
      <c r="A24"/>
      <c r="L24" s="20"/>
    </row>
  </sheetData>
  <sheetProtection sheet="1" objects="1" scenarios="1"/>
  <protectedRanges>
    <protectedRange sqref="A4" name="Range1"/>
  </protectedRanges>
  <mergeCells count="16">
    <mergeCell ref="A20:B20"/>
    <mergeCell ref="A4:A5"/>
    <mergeCell ref="E4:G5"/>
    <mergeCell ref="C4:D5"/>
    <mergeCell ref="A6:B6"/>
    <mergeCell ref="C6:M6"/>
    <mergeCell ref="N6:P6"/>
    <mergeCell ref="A1:P2"/>
    <mergeCell ref="H3:J3"/>
    <mergeCell ref="H4:J5"/>
    <mergeCell ref="K3:M3"/>
    <mergeCell ref="K4:M5"/>
    <mergeCell ref="O3:P3"/>
    <mergeCell ref="O4:P5"/>
    <mergeCell ref="E3:G3"/>
    <mergeCell ref="C3:D3"/>
  </mergeCells>
  <conditionalFormatting sqref="P8:P20 H4 K4 O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dataValidations count="1">
    <dataValidation type="list" allowBlank="1" showInputMessage="1" showErrorMessage="1" sqref="A4" xr:uid="{8D86C3C6-E5B5-4E50-8225-FAFFD01C183E}">
      <formula1>$Z$4:$Z$12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027E-CACD-4B04-ACC5-2F8809874703}">
  <dimension ref="A1:AG112"/>
  <sheetViews>
    <sheetView showGridLines="0" zoomScale="85" zoomScaleNormal="85" workbookViewId="0">
      <pane ySplit="4" topLeftCell="A5" activePane="bottomLeft" state="frozen"/>
      <selection pane="bottomLeft"/>
      <selection activeCell="B1" sqref="B1"/>
    </sheetView>
  </sheetViews>
  <sheetFormatPr defaultColWidth="8.85546875" defaultRowHeight="15"/>
  <cols>
    <col min="1" max="1" width="9.7109375" style="53" customWidth="1"/>
    <col min="2" max="2" width="10.7109375" style="46" bestFit="1" customWidth="1"/>
    <col min="3" max="3" width="12" style="60" bestFit="1" customWidth="1"/>
    <col min="4" max="4" width="10.42578125" style="62" bestFit="1" customWidth="1"/>
    <col min="5" max="5" width="10.42578125" style="60" bestFit="1" customWidth="1"/>
    <col min="6" max="6" width="10.42578125" style="62" bestFit="1" customWidth="1"/>
    <col min="7" max="7" width="10.42578125" style="60" bestFit="1" customWidth="1"/>
    <col min="8" max="8" width="10.42578125" style="62" bestFit="1" customWidth="1"/>
    <col min="9" max="9" width="9.28515625" style="60" bestFit="1" customWidth="1"/>
    <col min="10" max="10" width="9.28515625" style="62" bestFit="1" customWidth="1"/>
    <col min="11" max="11" width="9.28515625" style="63" customWidth="1"/>
    <col min="12" max="12" width="9.28515625" style="62" bestFit="1" customWidth="1"/>
    <col min="13" max="13" width="12" style="63" bestFit="1" customWidth="1"/>
    <col min="14" max="14" width="12.85546875" style="62" bestFit="1" customWidth="1"/>
    <col min="15" max="15" width="10.42578125" style="63" bestFit="1" customWidth="1"/>
    <col min="16" max="16" width="13.28515625" style="47" customWidth="1"/>
    <col min="17" max="18" width="9.140625" style="41"/>
    <col min="19" max="19" width="10.42578125" style="41" bestFit="1" customWidth="1"/>
    <col min="20" max="21" width="9.140625" style="41"/>
    <col min="22" max="22" width="9" style="41" bestFit="1" customWidth="1"/>
    <col min="23" max="29" width="9.140625" style="41"/>
    <col min="30" max="30" width="9" style="41" bestFit="1" customWidth="1"/>
    <col min="31" max="31" width="9.140625" style="41"/>
    <col min="32" max="32" width="9" style="41" bestFit="1" customWidth="1"/>
    <col min="33" max="33" width="9.140625" style="42" customWidth="1"/>
    <col min="34" max="16384" width="8.85546875" style="41"/>
  </cols>
  <sheetData>
    <row r="1" spans="1:33" ht="22.15" customHeight="1">
      <c r="A1" s="133" t="s">
        <v>40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33" ht="22.15" customHeigh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33">
      <c r="A3" s="134"/>
      <c r="B3" s="135"/>
      <c r="C3" s="136" t="s">
        <v>5</v>
      </c>
      <c r="D3" s="137"/>
      <c r="E3" s="137"/>
      <c r="F3" s="137"/>
      <c r="G3" s="137"/>
      <c r="H3" s="137"/>
      <c r="I3" s="137"/>
      <c r="J3" s="137"/>
      <c r="K3" s="137"/>
      <c r="L3" s="137"/>
      <c r="M3" s="135"/>
      <c r="N3" s="136" t="s">
        <v>6</v>
      </c>
      <c r="O3" s="137"/>
      <c r="P3" s="138"/>
    </row>
    <row r="4" spans="1:33">
      <c r="A4" s="68" t="s">
        <v>7</v>
      </c>
      <c r="B4" s="69" t="s">
        <v>8</v>
      </c>
      <c r="C4" s="70" t="s">
        <v>9</v>
      </c>
      <c r="D4" s="71" t="s">
        <v>10</v>
      </c>
      <c r="E4" s="72" t="s">
        <v>11</v>
      </c>
      <c r="F4" s="72" t="s">
        <v>12</v>
      </c>
      <c r="G4" s="70" t="s">
        <v>13</v>
      </c>
      <c r="H4" s="71" t="s">
        <v>14</v>
      </c>
      <c r="I4" s="72" t="s">
        <v>15</v>
      </c>
      <c r="J4" s="70" t="s">
        <v>16</v>
      </c>
      <c r="K4" s="71" t="s">
        <v>37</v>
      </c>
      <c r="L4" s="73" t="s">
        <v>17</v>
      </c>
      <c r="M4" s="70" t="s">
        <v>18</v>
      </c>
      <c r="N4" s="72" t="s">
        <v>19</v>
      </c>
      <c r="O4" s="72" t="s">
        <v>20</v>
      </c>
      <c r="P4" s="74" t="s">
        <v>36</v>
      </c>
    </row>
    <row r="5" spans="1:33">
      <c r="A5" s="75">
        <v>2022</v>
      </c>
      <c r="B5" s="43" t="s">
        <v>21</v>
      </c>
      <c r="C5" s="50"/>
      <c r="D5" s="51"/>
      <c r="E5" s="50"/>
      <c r="F5" s="51"/>
      <c r="G5" s="50"/>
      <c r="H5" s="51"/>
      <c r="I5" s="50"/>
      <c r="J5" s="51"/>
      <c r="K5" s="50"/>
      <c r="L5" s="51"/>
      <c r="M5" s="50"/>
      <c r="N5" s="51"/>
      <c r="O5" s="50"/>
      <c r="P5" s="9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 spans="1:33">
      <c r="A6" s="76">
        <v>2022</v>
      </c>
      <c r="B6" s="44" t="s">
        <v>22</v>
      </c>
      <c r="C6" s="48"/>
      <c r="D6" s="49"/>
      <c r="E6" s="48"/>
      <c r="F6" s="49"/>
      <c r="G6" s="48"/>
      <c r="H6" s="49"/>
      <c r="I6" s="48"/>
      <c r="J6" s="49"/>
      <c r="K6" s="48"/>
      <c r="L6" s="49"/>
      <c r="M6" s="48"/>
      <c r="N6" s="49"/>
      <c r="O6" s="48"/>
      <c r="P6" s="9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 spans="1:33">
      <c r="A7" s="76">
        <v>2022</v>
      </c>
      <c r="B7" s="44" t="s">
        <v>23</v>
      </c>
      <c r="C7" s="48">
        <v>0</v>
      </c>
      <c r="D7" s="49">
        <v>800</v>
      </c>
      <c r="E7" s="48">
        <v>995</v>
      </c>
      <c r="F7" s="49">
        <v>0</v>
      </c>
      <c r="G7" s="48">
        <v>0</v>
      </c>
      <c r="H7" s="49">
        <v>0</v>
      </c>
      <c r="I7" s="48">
        <v>0</v>
      </c>
      <c r="J7" s="49">
        <v>0</v>
      </c>
      <c r="K7" s="48">
        <v>0</v>
      </c>
      <c r="L7" s="49">
        <v>0</v>
      </c>
      <c r="M7" s="48">
        <v>1795</v>
      </c>
      <c r="N7" s="49">
        <v>0</v>
      </c>
      <c r="O7" s="48">
        <v>-1860.92</v>
      </c>
      <c r="P7" s="92">
        <v>-1860.92</v>
      </c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 spans="1:33">
      <c r="A8" s="76">
        <v>2022</v>
      </c>
      <c r="B8" s="44" t="s">
        <v>24</v>
      </c>
      <c r="C8" s="48">
        <v>0</v>
      </c>
      <c r="D8" s="49">
        <v>550</v>
      </c>
      <c r="E8" s="48">
        <v>16617</v>
      </c>
      <c r="F8" s="49">
        <v>0</v>
      </c>
      <c r="G8" s="48">
        <v>0</v>
      </c>
      <c r="H8" s="49">
        <v>0</v>
      </c>
      <c r="I8" s="48">
        <v>0</v>
      </c>
      <c r="J8" s="49">
        <v>0</v>
      </c>
      <c r="K8" s="48">
        <v>0</v>
      </c>
      <c r="L8" s="49">
        <v>0</v>
      </c>
      <c r="M8" s="48">
        <v>17167</v>
      </c>
      <c r="N8" s="49">
        <v>0</v>
      </c>
      <c r="O8" s="48">
        <v>0</v>
      </c>
      <c r="P8" s="92">
        <v>0</v>
      </c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 spans="1:33">
      <c r="A9" s="76">
        <v>2022</v>
      </c>
      <c r="B9" s="44" t="s">
        <v>25</v>
      </c>
      <c r="C9" s="48">
        <v>0</v>
      </c>
      <c r="D9" s="49">
        <v>200</v>
      </c>
      <c r="E9" s="48">
        <v>24458</v>
      </c>
      <c r="F9" s="49">
        <v>0</v>
      </c>
      <c r="G9" s="48">
        <v>0</v>
      </c>
      <c r="H9" s="49">
        <v>0</v>
      </c>
      <c r="I9" s="48">
        <v>0</v>
      </c>
      <c r="J9" s="49">
        <v>0</v>
      </c>
      <c r="K9" s="48">
        <v>0</v>
      </c>
      <c r="L9" s="49">
        <v>0</v>
      </c>
      <c r="M9" s="48">
        <v>24658</v>
      </c>
      <c r="N9" s="49">
        <v>0</v>
      </c>
      <c r="O9" s="48">
        <v>0</v>
      </c>
      <c r="P9" s="92"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</row>
    <row r="10" spans="1:33">
      <c r="A10" s="76">
        <v>2022</v>
      </c>
      <c r="B10" s="44" t="s">
        <v>26</v>
      </c>
      <c r="C10" s="48">
        <v>0</v>
      </c>
      <c r="D10" s="49">
        <v>850</v>
      </c>
      <c r="E10" s="48">
        <v>31360</v>
      </c>
      <c r="F10" s="49">
        <v>0</v>
      </c>
      <c r="G10" s="48">
        <v>0</v>
      </c>
      <c r="H10" s="49">
        <v>0</v>
      </c>
      <c r="I10" s="48">
        <v>0</v>
      </c>
      <c r="J10" s="49">
        <v>0</v>
      </c>
      <c r="K10" s="48">
        <v>0</v>
      </c>
      <c r="L10" s="49">
        <v>0</v>
      </c>
      <c r="M10" s="48">
        <v>32210</v>
      </c>
      <c r="N10" s="49">
        <v>0</v>
      </c>
      <c r="O10" s="48">
        <v>0</v>
      </c>
      <c r="P10" s="92">
        <v>0</v>
      </c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spans="1:33">
      <c r="A11" s="76">
        <v>2022</v>
      </c>
      <c r="B11" s="44" t="s">
        <v>27</v>
      </c>
      <c r="C11" s="48">
        <v>7900</v>
      </c>
      <c r="D11" s="49">
        <v>303</v>
      </c>
      <c r="E11" s="48">
        <v>25906</v>
      </c>
      <c r="F11" s="49">
        <v>0</v>
      </c>
      <c r="G11" s="48">
        <v>0</v>
      </c>
      <c r="H11" s="49">
        <v>0</v>
      </c>
      <c r="I11" s="48">
        <v>0</v>
      </c>
      <c r="J11" s="49">
        <v>0</v>
      </c>
      <c r="K11" s="48">
        <v>0</v>
      </c>
      <c r="L11" s="49">
        <v>0</v>
      </c>
      <c r="M11" s="48">
        <v>34109</v>
      </c>
      <c r="N11" s="49">
        <v>0</v>
      </c>
      <c r="O11" s="48">
        <v>0</v>
      </c>
      <c r="P11" s="92">
        <v>0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 spans="1:33">
      <c r="A12" s="76">
        <v>2022</v>
      </c>
      <c r="B12" s="44" t="s">
        <v>28</v>
      </c>
      <c r="C12" s="48">
        <v>8500</v>
      </c>
      <c r="D12" s="49">
        <v>346</v>
      </c>
      <c r="E12" s="48">
        <v>22384</v>
      </c>
      <c r="F12" s="49">
        <v>0</v>
      </c>
      <c r="G12" s="48">
        <v>0</v>
      </c>
      <c r="H12" s="49">
        <v>0</v>
      </c>
      <c r="I12" s="48">
        <v>0</v>
      </c>
      <c r="J12" s="49">
        <v>0</v>
      </c>
      <c r="K12" s="48">
        <v>0</v>
      </c>
      <c r="L12" s="49">
        <v>0</v>
      </c>
      <c r="M12" s="48">
        <v>31230</v>
      </c>
      <c r="N12" s="49">
        <v>0</v>
      </c>
      <c r="O12" s="48">
        <v>0</v>
      </c>
      <c r="P12" s="92">
        <v>0</v>
      </c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 spans="1:33">
      <c r="A13" s="76">
        <v>2022</v>
      </c>
      <c r="B13" s="44" t="s">
        <v>29</v>
      </c>
      <c r="C13" s="48">
        <v>8500</v>
      </c>
      <c r="D13" s="49">
        <v>450</v>
      </c>
      <c r="E13" s="48">
        <v>27231</v>
      </c>
      <c r="F13" s="49">
        <v>0</v>
      </c>
      <c r="G13" s="48">
        <v>0</v>
      </c>
      <c r="H13" s="49">
        <v>0</v>
      </c>
      <c r="I13" s="48">
        <v>0</v>
      </c>
      <c r="J13" s="49">
        <v>0</v>
      </c>
      <c r="K13" s="48">
        <v>0</v>
      </c>
      <c r="L13" s="49">
        <v>0</v>
      </c>
      <c r="M13" s="48">
        <v>36181</v>
      </c>
      <c r="N13" s="49">
        <v>0</v>
      </c>
      <c r="O13" s="48">
        <v>0</v>
      </c>
      <c r="P13" s="92">
        <v>0</v>
      </c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 spans="1:33">
      <c r="A14" s="76">
        <v>2022</v>
      </c>
      <c r="B14" s="44" t="s">
        <v>30</v>
      </c>
      <c r="C14" s="48">
        <v>8500</v>
      </c>
      <c r="D14" s="49">
        <v>330</v>
      </c>
      <c r="E14" s="48">
        <v>26925</v>
      </c>
      <c r="F14" s="49">
        <v>0</v>
      </c>
      <c r="G14" s="48">
        <v>0</v>
      </c>
      <c r="H14" s="49">
        <v>0</v>
      </c>
      <c r="I14" s="48">
        <v>0</v>
      </c>
      <c r="J14" s="49">
        <v>0</v>
      </c>
      <c r="K14" s="48">
        <v>0</v>
      </c>
      <c r="L14" s="49">
        <v>0</v>
      </c>
      <c r="M14" s="48">
        <v>35755</v>
      </c>
      <c r="N14" s="49">
        <v>0</v>
      </c>
      <c r="O14" s="48">
        <v>5000</v>
      </c>
      <c r="P14" s="92">
        <v>5000</v>
      </c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 spans="1:33">
      <c r="A15" s="77">
        <v>2022</v>
      </c>
      <c r="B15" s="45" t="s">
        <v>31</v>
      </c>
      <c r="C15" s="48">
        <v>7500</v>
      </c>
      <c r="D15" s="49">
        <v>572</v>
      </c>
      <c r="E15" s="48">
        <v>28252</v>
      </c>
      <c r="F15" s="49">
        <v>0</v>
      </c>
      <c r="G15" s="48">
        <v>0</v>
      </c>
      <c r="H15" s="49">
        <v>0</v>
      </c>
      <c r="I15" s="48">
        <v>0</v>
      </c>
      <c r="J15" s="49">
        <v>0</v>
      </c>
      <c r="K15" s="48">
        <v>0</v>
      </c>
      <c r="L15" s="49">
        <v>0</v>
      </c>
      <c r="M15" s="48">
        <v>36324</v>
      </c>
      <c r="N15" s="49">
        <v>0</v>
      </c>
      <c r="O15" s="48">
        <v>21825.03</v>
      </c>
      <c r="P15" s="92">
        <v>21825.03</v>
      </c>
      <c r="R15" s="67"/>
    </row>
    <row r="16" spans="1:33">
      <c r="A16" s="78">
        <v>2022</v>
      </c>
      <c r="B16" s="79" t="s">
        <v>32</v>
      </c>
      <c r="C16" s="80">
        <v>9000</v>
      </c>
      <c r="D16" s="81">
        <v>397</v>
      </c>
      <c r="E16" s="80">
        <v>30907</v>
      </c>
      <c r="F16" s="81">
        <v>0</v>
      </c>
      <c r="G16" s="80">
        <v>0</v>
      </c>
      <c r="H16" s="81">
        <v>0</v>
      </c>
      <c r="I16" s="80">
        <v>0</v>
      </c>
      <c r="J16" s="81">
        <v>0</v>
      </c>
      <c r="K16" s="82">
        <v>0</v>
      </c>
      <c r="L16" s="81">
        <v>0</v>
      </c>
      <c r="M16" s="83">
        <v>40304</v>
      </c>
      <c r="N16" s="81">
        <v>0</v>
      </c>
      <c r="O16" s="82">
        <v>20000</v>
      </c>
      <c r="P16" s="93">
        <v>20000</v>
      </c>
    </row>
    <row r="17" spans="1:33">
      <c r="A17" s="84">
        <v>2023</v>
      </c>
      <c r="B17" s="43" t="s">
        <v>21</v>
      </c>
      <c r="C17" s="86">
        <v>9000</v>
      </c>
      <c r="D17" s="87">
        <v>60</v>
      </c>
      <c r="E17" s="86">
        <v>5392.71</v>
      </c>
      <c r="F17" s="87">
        <v>0</v>
      </c>
      <c r="G17" s="86">
        <v>1351.64</v>
      </c>
      <c r="H17" s="87">
        <v>0</v>
      </c>
      <c r="I17" s="86">
        <v>169</v>
      </c>
      <c r="J17" s="87">
        <v>525</v>
      </c>
      <c r="K17" s="88">
        <v>0</v>
      </c>
      <c r="L17" s="87">
        <v>0</v>
      </c>
      <c r="M17" s="89">
        <v>16498.349999999999</v>
      </c>
      <c r="N17" s="87">
        <v>0</v>
      </c>
      <c r="O17" s="88">
        <v>12017.7</v>
      </c>
      <c r="P17" s="94">
        <v>12017.7</v>
      </c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 spans="1:33">
      <c r="A18" s="52">
        <v>2023</v>
      </c>
      <c r="B18" s="44" t="s">
        <v>22</v>
      </c>
      <c r="C18" s="61">
        <v>9000</v>
      </c>
      <c r="D18" s="64">
        <v>40</v>
      </c>
      <c r="E18" s="61">
        <v>8294.19</v>
      </c>
      <c r="F18" s="64">
        <v>0</v>
      </c>
      <c r="G18" s="61">
        <v>395</v>
      </c>
      <c r="H18" s="64">
        <v>0</v>
      </c>
      <c r="I18" s="61">
        <v>33</v>
      </c>
      <c r="J18" s="64">
        <v>500</v>
      </c>
      <c r="K18" s="65">
        <v>0</v>
      </c>
      <c r="L18" s="64">
        <v>0</v>
      </c>
      <c r="M18" s="48">
        <v>18262.189999999999</v>
      </c>
      <c r="N18" s="64">
        <v>0</v>
      </c>
      <c r="O18" s="65">
        <v>30000</v>
      </c>
      <c r="P18" s="92">
        <v>30000</v>
      </c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 spans="1:33">
      <c r="A19" s="52">
        <v>2023</v>
      </c>
      <c r="B19" s="44" t="s">
        <v>23</v>
      </c>
      <c r="C19" s="61">
        <v>9000</v>
      </c>
      <c r="D19" s="64">
        <v>30</v>
      </c>
      <c r="E19" s="61">
        <v>20719.900000000001</v>
      </c>
      <c r="F19" s="64">
        <v>0</v>
      </c>
      <c r="G19" s="61">
        <v>1240.6400000000001</v>
      </c>
      <c r="H19" s="64">
        <v>0</v>
      </c>
      <c r="I19" s="61">
        <v>0</v>
      </c>
      <c r="J19" s="64">
        <v>0</v>
      </c>
      <c r="K19" s="65">
        <v>0</v>
      </c>
      <c r="L19" s="90">
        <v>0</v>
      </c>
      <c r="M19" s="48">
        <v>30990.54</v>
      </c>
      <c r="N19" s="64">
        <v>0</v>
      </c>
      <c r="O19" s="65">
        <v>5000</v>
      </c>
      <c r="P19" s="92">
        <v>5000</v>
      </c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 spans="1:33">
      <c r="A20" s="52">
        <v>2023</v>
      </c>
      <c r="B20" s="44" t="s">
        <v>24</v>
      </c>
      <c r="C20" s="61">
        <v>9000</v>
      </c>
      <c r="D20" s="64">
        <v>6753</v>
      </c>
      <c r="E20" s="61">
        <v>19170.55</v>
      </c>
      <c r="F20" s="64">
        <v>500</v>
      </c>
      <c r="G20" s="61">
        <v>3629.92</v>
      </c>
      <c r="H20" s="64">
        <v>891</v>
      </c>
      <c r="I20" s="61">
        <v>0</v>
      </c>
      <c r="J20" s="64">
        <v>-200</v>
      </c>
      <c r="K20" s="65">
        <v>0</v>
      </c>
      <c r="L20" s="64">
        <v>0</v>
      </c>
      <c r="M20" s="48">
        <v>39744.47</v>
      </c>
      <c r="N20" s="64">
        <v>0</v>
      </c>
      <c r="O20" s="65">
        <v>15000</v>
      </c>
      <c r="P20" s="92">
        <v>15000</v>
      </c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 spans="1:33">
      <c r="A21" s="52">
        <v>2023</v>
      </c>
      <c r="B21" s="44" t="s">
        <v>25</v>
      </c>
      <c r="C21" s="61">
        <v>0</v>
      </c>
      <c r="D21" s="64">
        <v>6923</v>
      </c>
      <c r="E21" s="61">
        <v>14569.12</v>
      </c>
      <c r="F21" s="64">
        <v>0</v>
      </c>
      <c r="G21" s="61">
        <v>359</v>
      </c>
      <c r="H21" s="64">
        <v>0</v>
      </c>
      <c r="I21" s="61">
        <v>132</v>
      </c>
      <c r="J21" s="64">
        <v>190</v>
      </c>
      <c r="K21" s="65">
        <v>0</v>
      </c>
      <c r="L21" s="64">
        <v>0</v>
      </c>
      <c r="M21" s="48">
        <v>22173.119999999999</v>
      </c>
      <c r="N21" s="64">
        <v>0</v>
      </c>
      <c r="O21" s="65">
        <v>0</v>
      </c>
      <c r="P21" s="92">
        <v>0</v>
      </c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 spans="1:33">
      <c r="A22" s="52">
        <v>2023</v>
      </c>
      <c r="B22" s="44" t="s">
        <v>26</v>
      </c>
      <c r="C22" s="61">
        <v>9000</v>
      </c>
      <c r="D22" s="64">
        <v>265</v>
      </c>
      <c r="E22" s="61">
        <v>41676.550000000003</v>
      </c>
      <c r="F22" s="64">
        <v>500</v>
      </c>
      <c r="G22" s="61">
        <v>0</v>
      </c>
      <c r="H22" s="64">
        <v>0</v>
      </c>
      <c r="I22" s="61">
        <v>0</v>
      </c>
      <c r="J22" s="64">
        <v>787.54</v>
      </c>
      <c r="K22" s="65">
        <v>0</v>
      </c>
      <c r="L22" s="64">
        <v>0</v>
      </c>
      <c r="M22" s="48">
        <v>52229.09</v>
      </c>
      <c r="N22" s="64">
        <v>0</v>
      </c>
      <c r="O22" s="65">
        <v>20000</v>
      </c>
      <c r="P22" s="92">
        <v>20000</v>
      </c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 spans="1:33">
      <c r="A23" s="52">
        <v>2023</v>
      </c>
      <c r="B23" s="44" t="s">
        <v>27</v>
      </c>
      <c r="C23" s="61">
        <v>10200</v>
      </c>
      <c r="D23" s="64">
        <v>6047</v>
      </c>
      <c r="E23" s="61">
        <v>-695</v>
      </c>
      <c r="F23" s="64">
        <v>0</v>
      </c>
      <c r="G23" s="61">
        <v>2790</v>
      </c>
      <c r="H23" s="64">
        <v>0</v>
      </c>
      <c r="I23" s="61">
        <v>0</v>
      </c>
      <c r="J23" s="64">
        <v>1399.62</v>
      </c>
      <c r="K23" s="65">
        <v>0</v>
      </c>
      <c r="L23" s="64">
        <v>0</v>
      </c>
      <c r="M23" s="48">
        <v>19741.62</v>
      </c>
      <c r="N23" s="64">
        <v>0</v>
      </c>
      <c r="O23" s="65">
        <v>20000</v>
      </c>
      <c r="P23" s="92">
        <v>20000</v>
      </c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 spans="1:33">
      <c r="A24" s="52">
        <v>2023</v>
      </c>
      <c r="B24" s="44" t="s">
        <v>28</v>
      </c>
      <c r="C24" s="61">
        <v>9000</v>
      </c>
      <c r="D24" s="64">
        <v>6605</v>
      </c>
      <c r="E24" s="61">
        <v>9803.52</v>
      </c>
      <c r="F24" s="64">
        <v>0</v>
      </c>
      <c r="G24" s="61">
        <v>395</v>
      </c>
      <c r="H24" s="64">
        <v>0</v>
      </c>
      <c r="I24" s="61">
        <v>0</v>
      </c>
      <c r="J24" s="64">
        <v>1332</v>
      </c>
      <c r="K24" s="65">
        <v>0</v>
      </c>
      <c r="L24" s="64">
        <v>0</v>
      </c>
      <c r="M24" s="48">
        <v>27135.52</v>
      </c>
      <c r="N24" s="64">
        <v>0</v>
      </c>
      <c r="O24" s="65">
        <v>20000</v>
      </c>
      <c r="P24" s="92">
        <v>20000</v>
      </c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 spans="1:33">
      <c r="A25" s="52">
        <v>2023</v>
      </c>
      <c r="B25" s="44" t="s">
        <v>29</v>
      </c>
      <c r="C25" s="61">
        <v>10200</v>
      </c>
      <c r="D25" s="64">
        <v>20</v>
      </c>
      <c r="E25" s="61">
        <v>16920.89</v>
      </c>
      <c r="F25" s="64">
        <v>0</v>
      </c>
      <c r="G25" s="61">
        <v>0</v>
      </c>
      <c r="H25" s="64">
        <v>0</v>
      </c>
      <c r="I25" s="61">
        <v>105</v>
      </c>
      <c r="J25" s="64">
        <v>-385</v>
      </c>
      <c r="K25" s="65">
        <v>0</v>
      </c>
      <c r="L25" s="64">
        <v>0</v>
      </c>
      <c r="M25" s="48">
        <v>26860.89</v>
      </c>
      <c r="N25" s="64">
        <v>0</v>
      </c>
      <c r="O25" s="65">
        <v>15000</v>
      </c>
      <c r="P25" s="92">
        <v>15000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 spans="1:33">
      <c r="A26" s="52">
        <v>2023</v>
      </c>
      <c r="B26" s="44" t="s">
        <v>30</v>
      </c>
      <c r="C26" s="61">
        <v>1000</v>
      </c>
      <c r="D26" s="64">
        <v>15</v>
      </c>
      <c r="E26" s="61">
        <v>49400.86</v>
      </c>
      <c r="F26" s="64">
        <v>0</v>
      </c>
      <c r="G26" s="61">
        <v>955</v>
      </c>
      <c r="H26" s="64">
        <v>0</v>
      </c>
      <c r="I26" s="61">
        <v>0</v>
      </c>
      <c r="J26" s="64">
        <v>664</v>
      </c>
      <c r="K26" s="65">
        <v>0</v>
      </c>
      <c r="L26" s="64">
        <v>0</v>
      </c>
      <c r="M26" s="48">
        <v>52034.86</v>
      </c>
      <c r="N26" s="64">
        <v>0</v>
      </c>
      <c r="O26" s="65">
        <v>40000</v>
      </c>
      <c r="P26" s="92">
        <v>40000</v>
      </c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 spans="1:33">
      <c r="A27" s="52">
        <v>2023</v>
      </c>
      <c r="B27" s="45" t="s">
        <v>31</v>
      </c>
      <c r="C27" s="61">
        <v>0</v>
      </c>
      <c r="D27" s="64">
        <v>303</v>
      </c>
      <c r="E27" s="61">
        <v>17454.78</v>
      </c>
      <c r="F27" s="64">
        <v>0</v>
      </c>
      <c r="G27" s="61">
        <v>395</v>
      </c>
      <c r="H27" s="64">
        <v>0</v>
      </c>
      <c r="I27" s="61">
        <v>2647</v>
      </c>
      <c r="J27" s="64">
        <v>0</v>
      </c>
      <c r="K27" s="65">
        <v>1837.55</v>
      </c>
      <c r="L27" s="64">
        <v>0</v>
      </c>
      <c r="M27" s="48">
        <v>22637.33</v>
      </c>
      <c r="N27" s="64">
        <v>0</v>
      </c>
      <c r="O27" s="65">
        <v>40000</v>
      </c>
      <c r="P27" s="92">
        <v>40000</v>
      </c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 spans="1:33">
      <c r="A28" s="52">
        <v>2023</v>
      </c>
      <c r="B28" s="79" t="s">
        <v>32</v>
      </c>
      <c r="C28" s="61">
        <v>0</v>
      </c>
      <c r="D28" s="64">
        <v>0</v>
      </c>
      <c r="E28" s="61">
        <v>3614.07</v>
      </c>
      <c r="F28" s="64">
        <v>0</v>
      </c>
      <c r="G28" s="61">
        <v>0</v>
      </c>
      <c r="H28" s="64">
        <v>0</v>
      </c>
      <c r="I28" s="61">
        <v>263</v>
      </c>
      <c r="J28" s="64">
        <v>0</v>
      </c>
      <c r="K28" s="65">
        <v>5032.34</v>
      </c>
      <c r="L28" s="64">
        <v>0</v>
      </c>
      <c r="M28" s="48">
        <v>8909.41</v>
      </c>
      <c r="N28" s="64">
        <v>0</v>
      </c>
      <c r="O28" s="65">
        <v>40000</v>
      </c>
      <c r="P28" s="92">
        <v>40000</v>
      </c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 spans="1:33">
      <c r="A29" s="84">
        <v>2024</v>
      </c>
      <c r="B29" s="43" t="s">
        <v>21</v>
      </c>
      <c r="C29" s="89">
        <v>0</v>
      </c>
      <c r="D29" s="91">
        <v>300</v>
      </c>
      <c r="E29" s="89">
        <v>174528.03</v>
      </c>
      <c r="F29" s="91">
        <v>1000</v>
      </c>
      <c r="G29" s="96">
        <v>1185</v>
      </c>
      <c r="H29" s="91">
        <v>0</v>
      </c>
      <c r="I29" s="89">
        <v>0</v>
      </c>
      <c r="J29" s="91">
        <v>2674</v>
      </c>
      <c r="K29" s="89">
        <v>150</v>
      </c>
      <c r="L29" s="91">
        <v>0</v>
      </c>
      <c r="M29" s="89">
        <v>179837.03</v>
      </c>
      <c r="N29" s="91">
        <v>0</v>
      </c>
      <c r="O29" s="89">
        <v>0</v>
      </c>
      <c r="P29" s="94">
        <v>0</v>
      </c>
    </row>
    <row r="30" spans="1:33">
      <c r="A30" s="52">
        <v>2024</v>
      </c>
      <c r="B30" s="44" t="s">
        <v>22</v>
      </c>
      <c r="C30" s="48">
        <v>14000</v>
      </c>
      <c r="D30" s="49">
        <v>373</v>
      </c>
      <c r="E30" s="48">
        <v>152635.31</v>
      </c>
      <c r="F30" s="49">
        <v>0</v>
      </c>
      <c r="G30" s="48">
        <v>0</v>
      </c>
      <c r="H30" s="49">
        <v>0</v>
      </c>
      <c r="I30" s="48">
        <v>0</v>
      </c>
      <c r="J30" s="49">
        <v>0</v>
      </c>
      <c r="K30" s="48">
        <v>5016.83</v>
      </c>
      <c r="L30" s="49">
        <v>1600</v>
      </c>
      <c r="M30" s="48">
        <v>173625.14</v>
      </c>
      <c r="N30" s="49">
        <v>0</v>
      </c>
      <c r="O30" s="48">
        <v>38001</v>
      </c>
      <c r="P30" s="92">
        <v>38001</v>
      </c>
    </row>
    <row r="31" spans="1:33">
      <c r="A31" s="52">
        <v>2024</v>
      </c>
      <c r="B31" s="44" t="s">
        <v>23</v>
      </c>
      <c r="C31" s="48">
        <v>10700</v>
      </c>
      <c r="D31" s="49">
        <v>439</v>
      </c>
      <c r="E31" s="48">
        <v>13868.39</v>
      </c>
      <c r="F31" s="49">
        <v>1000</v>
      </c>
      <c r="G31" s="48">
        <v>815</v>
      </c>
      <c r="H31" s="49">
        <v>0</v>
      </c>
      <c r="I31" s="48">
        <v>0</v>
      </c>
      <c r="J31" s="49">
        <v>0</v>
      </c>
      <c r="K31" s="48">
        <v>-554.45000000000005</v>
      </c>
      <c r="L31" s="49">
        <v>0</v>
      </c>
      <c r="M31" s="48">
        <v>26267.94</v>
      </c>
      <c r="N31" s="49">
        <v>0</v>
      </c>
      <c r="O31" s="48">
        <v>34000</v>
      </c>
      <c r="P31" s="92">
        <v>34000</v>
      </c>
    </row>
    <row r="32" spans="1:33">
      <c r="A32" s="52">
        <v>2024</v>
      </c>
      <c r="B32" s="44" t="s">
        <v>24</v>
      </c>
      <c r="C32" s="48">
        <v>11000</v>
      </c>
      <c r="D32" s="49">
        <v>7748.25</v>
      </c>
      <c r="E32" s="48">
        <v>12636.32</v>
      </c>
      <c r="F32" s="49">
        <v>1000</v>
      </c>
      <c r="G32" s="48">
        <v>395</v>
      </c>
      <c r="H32" s="49">
        <v>2455</v>
      </c>
      <c r="I32" s="48">
        <v>0</v>
      </c>
      <c r="J32" s="49">
        <v>0</v>
      </c>
      <c r="K32" s="48">
        <v>495.96</v>
      </c>
      <c r="L32" s="49">
        <v>0</v>
      </c>
      <c r="M32" s="48">
        <v>35730.53</v>
      </c>
      <c r="N32" s="49">
        <v>0</v>
      </c>
      <c r="O32" s="48">
        <v>14000</v>
      </c>
      <c r="P32" s="92">
        <v>14000</v>
      </c>
    </row>
    <row r="33" spans="1:16">
      <c r="A33" s="52">
        <v>2024</v>
      </c>
      <c r="B33" s="44" t="s">
        <v>25</v>
      </c>
      <c r="C33" s="48">
        <v>6234</v>
      </c>
      <c r="D33" s="49">
        <v>529</v>
      </c>
      <c r="E33" s="48">
        <v>135544.74</v>
      </c>
      <c r="F33" s="49">
        <v>0</v>
      </c>
      <c r="G33" s="48">
        <v>1559</v>
      </c>
      <c r="H33" s="49">
        <v>12387</v>
      </c>
      <c r="I33" s="48">
        <v>130</v>
      </c>
      <c r="J33" s="49">
        <v>0</v>
      </c>
      <c r="K33" s="48">
        <v>-1222</v>
      </c>
      <c r="L33" s="49">
        <v>0</v>
      </c>
      <c r="M33" s="48">
        <v>155161.74</v>
      </c>
      <c r="N33" s="49">
        <v>0</v>
      </c>
      <c r="O33" s="65">
        <v>34000</v>
      </c>
      <c r="P33" s="92">
        <v>34000</v>
      </c>
    </row>
    <row r="34" spans="1:16">
      <c r="A34" s="52">
        <v>2024</v>
      </c>
      <c r="B34" s="44" t="s">
        <v>26</v>
      </c>
      <c r="C34" s="48">
        <v>0</v>
      </c>
      <c r="D34" s="49">
        <v>150</v>
      </c>
      <c r="E34" s="48">
        <v>35227.199999999997</v>
      </c>
      <c r="F34" s="49">
        <v>0</v>
      </c>
      <c r="G34" s="48">
        <v>1000</v>
      </c>
      <c r="H34" s="49">
        <v>0</v>
      </c>
      <c r="I34" s="48">
        <v>46</v>
      </c>
      <c r="J34" s="49">
        <v>0</v>
      </c>
      <c r="K34" s="48">
        <v>0</v>
      </c>
      <c r="L34" s="49">
        <v>0</v>
      </c>
      <c r="M34" s="48">
        <v>36423.199999999997</v>
      </c>
      <c r="N34" s="49">
        <v>0</v>
      </c>
      <c r="O34" s="48">
        <v>14000</v>
      </c>
      <c r="P34" s="92">
        <v>14000</v>
      </c>
    </row>
    <row r="35" spans="1:16">
      <c r="A35" s="52">
        <v>2024</v>
      </c>
      <c r="B35" s="44" t="s">
        <v>27</v>
      </c>
      <c r="C35" s="61">
        <v>0</v>
      </c>
      <c r="D35" s="64">
        <v>9388</v>
      </c>
      <c r="E35" s="61">
        <v>53698.96</v>
      </c>
      <c r="F35" s="64">
        <v>0</v>
      </c>
      <c r="G35" s="61">
        <v>1170.82</v>
      </c>
      <c r="H35" s="64">
        <v>1601</v>
      </c>
      <c r="I35" s="61">
        <v>251</v>
      </c>
      <c r="J35" s="64">
        <v>0</v>
      </c>
      <c r="K35" s="65">
        <v>0</v>
      </c>
      <c r="L35" s="64">
        <v>0</v>
      </c>
      <c r="M35" s="48">
        <v>66109.78</v>
      </c>
      <c r="N35" s="49">
        <v>0</v>
      </c>
      <c r="O35" s="65">
        <v>0</v>
      </c>
      <c r="P35" s="92">
        <v>0</v>
      </c>
    </row>
    <row r="36" spans="1:16">
      <c r="A36" s="52">
        <v>2024</v>
      </c>
      <c r="B36" s="44" t="s">
        <v>28</v>
      </c>
      <c r="C36" s="61">
        <v>10000</v>
      </c>
      <c r="D36" s="64">
        <v>627</v>
      </c>
      <c r="E36" s="61">
        <v>19571.919999999998</v>
      </c>
      <c r="F36" s="64">
        <v>1503.75</v>
      </c>
      <c r="G36" s="61">
        <v>1375</v>
      </c>
      <c r="H36" s="64">
        <v>1602</v>
      </c>
      <c r="I36" s="61">
        <v>0</v>
      </c>
      <c r="J36" s="64">
        <v>0</v>
      </c>
      <c r="K36" s="65">
        <v>1373.96</v>
      </c>
      <c r="L36" s="64">
        <v>0</v>
      </c>
      <c r="M36" s="48">
        <v>36053.629999999997</v>
      </c>
      <c r="N36" s="49">
        <v>0</v>
      </c>
      <c r="O36" s="65">
        <v>0</v>
      </c>
      <c r="P36" s="92">
        <v>0</v>
      </c>
    </row>
    <row r="37" spans="1:16">
      <c r="A37" s="52">
        <v>2024</v>
      </c>
      <c r="B37" s="44" t="s">
        <v>29</v>
      </c>
      <c r="C37" s="61">
        <v>9000</v>
      </c>
      <c r="D37" s="64">
        <v>513</v>
      </c>
      <c r="E37" s="61">
        <v>119374.09</v>
      </c>
      <c r="F37" s="64">
        <v>236</v>
      </c>
      <c r="G37" s="61">
        <v>0</v>
      </c>
      <c r="H37" s="64">
        <v>1600</v>
      </c>
      <c r="I37" s="61">
        <v>108</v>
      </c>
      <c r="J37" s="64">
        <v>0</v>
      </c>
      <c r="K37" s="65">
        <v>-1320</v>
      </c>
      <c r="L37" s="64">
        <v>1349</v>
      </c>
      <c r="M37" s="48">
        <v>130860.09</v>
      </c>
      <c r="N37" s="49">
        <v>0</v>
      </c>
      <c r="O37" s="65">
        <v>0</v>
      </c>
      <c r="P37" s="92">
        <v>0</v>
      </c>
    </row>
    <row r="38" spans="1:16">
      <c r="A38" s="52">
        <v>2024</v>
      </c>
      <c r="B38" s="44" t="s">
        <v>30</v>
      </c>
      <c r="C38" s="61">
        <v>20000</v>
      </c>
      <c r="D38" s="64">
        <v>4882.68</v>
      </c>
      <c r="E38" s="61">
        <v>18232.66</v>
      </c>
      <c r="F38" s="64">
        <v>551.96</v>
      </c>
      <c r="G38" s="61">
        <v>-1300</v>
      </c>
      <c r="H38" s="64">
        <v>3202</v>
      </c>
      <c r="I38" s="61">
        <v>43</v>
      </c>
      <c r="J38" s="64">
        <v>0</v>
      </c>
      <c r="K38" s="65">
        <v>0</v>
      </c>
      <c r="L38" s="64">
        <v>0</v>
      </c>
      <c r="M38" s="48">
        <v>45612.3</v>
      </c>
      <c r="N38" s="49">
        <v>0</v>
      </c>
      <c r="O38" s="65">
        <v>55000</v>
      </c>
      <c r="P38" s="92">
        <v>55000</v>
      </c>
    </row>
    <row r="39" spans="1:16">
      <c r="A39" s="52">
        <v>2024</v>
      </c>
      <c r="B39" s="45" t="s">
        <v>31</v>
      </c>
      <c r="C39" s="61">
        <v>0</v>
      </c>
      <c r="D39" s="64">
        <v>235</v>
      </c>
      <c r="E39" s="61">
        <v>-7974.3</v>
      </c>
      <c r="F39" s="64">
        <v>308</v>
      </c>
      <c r="G39" s="61">
        <v>1859</v>
      </c>
      <c r="H39" s="64">
        <v>0</v>
      </c>
      <c r="I39" s="61">
        <v>132</v>
      </c>
      <c r="J39" s="64">
        <v>0</v>
      </c>
      <c r="K39" s="65">
        <v>0</v>
      </c>
      <c r="L39" s="64">
        <v>571.76</v>
      </c>
      <c r="M39" s="48">
        <v>-4868.54</v>
      </c>
      <c r="N39" s="49">
        <v>0</v>
      </c>
      <c r="O39" s="65">
        <v>45000</v>
      </c>
      <c r="P39" s="92">
        <v>45000</v>
      </c>
    </row>
    <row r="40" spans="1:16">
      <c r="A40" s="52">
        <v>2024</v>
      </c>
      <c r="B40" s="79" t="s">
        <v>32</v>
      </c>
      <c r="C40" s="61">
        <v>3600</v>
      </c>
      <c r="D40" s="64">
        <v>3607.33</v>
      </c>
      <c r="E40" s="61">
        <v>46755.55</v>
      </c>
      <c r="F40" s="64">
        <v>0</v>
      </c>
      <c r="G40" s="61">
        <v>0</v>
      </c>
      <c r="H40" s="64">
        <v>3202</v>
      </c>
      <c r="I40" s="61">
        <v>35</v>
      </c>
      <c r="J40" s="64">
        <v>0</v>
      </c>
      <c r="K40" s="65">
        <v>0</v>
      </c>
      <c r="L40" s="64">
        <v>105</v>
      </c>
      <c r="M40" s="48">
        <v>57304.88</v>
      </c>
      <c r="N40" s="49">
        <v>0</v>
      </c>
      <c r="O40" s="65">
        <v>0</v>
      </c>
      <c r="P40" s="92">
        <v>0</v>
      </c>
    </row>
    <row r="41" spans="1:16">
      <c r="A41" s="84">
        <v>2025</v>
      </c>
      <c r="B41" s="85" t="s">
        <v>21</v>
      </c>
      <c r="C41" s="89">
        <v>0</v>
      </c>
      <c r="D41" s="91">
        <v>7926</v>
      </c>
      <c r="E41" s="89">
        <v>29524.29</v>
      </c>
      <c r="F41" s="91">
        <v>0</v>
      </c>
      <c r="G41" s="89">
        <v>-600</v>
      </c>
      <c r="H41" s="91">
        <v>0</v>
      </c>
      <c r="I41" s="89">
        <v>0</v>
      </c>
      <c r="J41" s="91">
        <v>0</v>
      </c>
      <c r="K41" s="89">
        <v>0</v>
      </c>
      <c r="L41" s="91">
        <v>0</v>
      </c>
      <c r="M41" s="89">
        <f>SUM(C41:L41)</f>
        <v>36850.29</v>
      </c>
      <c r="N41" s="91">
        <v>25000</v>
      </c>
      <c r="O41" s="89">
        <v>41200</v>
      </c>
      <c r="P41" s="94">
        <v>66200</v>
      </c>
    </row>
    <row r="42" spans="1:16">
      <c r="A42" s="52">
        <v>2025</v>
      </c>
      <c r="B42" s="54" t="s">
        <v>22</v>
      </c>
      <c r="C42" s="48">
        <v>16000</v>
      </c>
      <c r="D42" s="49">
        <v>722</v>
      </c>
      <c r="E42" s="48">
        <v>6648.12</v>
      </c>
      <c r="F42" s="49">
        <v>2042</v>
      </c>
      <c r="G42" s="48">
        <v>1919</v>
      </c>
      <c r="H42" s="49">
        <v>1601</v>
      </c>
      <c r="I42" s="48">
        <v>0</v>
      </c>
      <c r="J42" s="49">
        <v>0</v>
      </c>
      <c r="K42" s="48">
        <v>0</v>
      </c>
      <c r="L42" s="49">
        <v>0</v>
      </c>
      <c r="M42" s="48">
        <f t="shared" ref="M42:M58" si="0">SUM(C42:L42)</f>
        <v>28932.12</v>
      </c>
      <c r="N42" s="49">
        <v>0</v>
      </c>
      <c r="O42" s="48">
        <v>33000</v>
      </c>
      <c r="P42" s="92">
        <v>33000</v>
      </c>
    </row>
    <row r="43" spans="1:16">
      <c r="A43" s="52">
        <v>2025</v>
      </c>
      <c r="B43" s="54" t="s">
        <v>23</v>
      </c>
      <c r="C43" s="48">
        <v>16000</v>
      </c>
      <c r="D43" s="49">
        <v>295</v>
      </c>
      <c r="E43" s="48">
        <v>17268.71</v>
      </c>
      <c r="F43" s="49">
        <v>885</v>
      </c>
      <c r="G43" s="48">
        <v>119</v>
      </c>
      <c r="H43" s="49">
        <v>1601</v>
      </c>
      <c r="I43" s="48">
        <v>0</v>
      </c>
      <c r="J43" s="49">
        <v>0</v>
      </c>
      <c r="K43" s="48">
        <v>0</v>
      </c>
      <c r="L43" s="49">
        <v>0</v>
      </c>
      <c r="M43" s="48">
        <f t="shared" si="0"/>
        <v>36168.71</v>
      </c>
      <c r="N43" s="49">
        <v>0</v>
      </c>
      <c r="O43" s="48">
        <v>27600</v>
      </c>
      <c r="P43" s="92">
        <v>27600</v>
      </c>
    </row>
    <row r="44" spans="1:16">
      <c r="A44" s="52">
        <v>2025</v>
      </c>
      <c r="B44" s="54" t="s">
        <v>24</v>
      </c>
      <c r="C44" s="48">
        <v>16000</v>
      </c>
      <c r="D44" s="49">
        <v>444</v>
      </c>
      <c r="E44" s="48">
        <v>6311.21</v>
      </c>
      <c r="F44" s="49">
        <v>1615</v>
      </c>
      <c r="G44" s="48">
        <v>119</v>
      </c>
      <c r="H44" s="49">
        <v>2450</v>
      </c>
      <c r="I44" s="48">
        <v>6880</v>
      </c>
      <c r="J44" s="49">
        <v>0</v>
      </c>
      <c r="K44" s="48">
        <v>0</v>
      </c>
      <c r="L44" s="49">
        <v>0</v>
      </c>
      <c r="M44" s="48">
        <f t="shared" si="0"/>
        <v>33819.21</v>
      </c>
      <c r="N44" s="49">
        <v>0</v>
      </c>
      <c r="O44" s="48">
        <v>-4000</v>
      </c>
      <c r="P44" s="92">
        <v>-4000</v>
      </c>
    </row>
    <row r="45" spans="1:16">
      <c r="A45" s="52">
        <v>2025</v>
      </c>
      <c r="B45" s="54" t="s">
        <v>25</v>
      </c>
      <c r="C45" s="48">
        <v>16000</v>
      </c>
      <c r="D45" s="49">
        <v>2354</v>
      </c>
      <c r="E45" s="48">
        <v>13717.59</v>
      </c>
      <c r="F45" s="49">
        <v>1375</v>
      </c>
      <c r="G45" s="48">
        <v>1919</v>
      </c>
      <c r="H45" s="49">
        <v>30603</v>
      </c>
      <c r="I45" s="48">
        <v>206329</v>
      </c>
      <c r="J45" s="49">
        <v>0</v>
      </c>
      <c r="K45" s="48">
        <v>0</v>
      </c>
      <c r="L45" s="49">
        <v>0</v>
      </c>
      <c r="M45" s="48">
        <f t="shared" si="0"/>
        <v>272297.58999999997</v>
      </c>
      <c r="N45" s="49">
        <v>0</v>
      </c>
      <c r="O45" s="65">
        <v>-130000</v>
      </c>
      <c r="P45" s="92">
        <v>-130000</v>
      </c>
    </row>
    <row r="46" spans="1:16">
      <c r="A46" s="52">
        <v>2025</v>
      </c>
      <c r="B46" s="54" t="s">
        <v>26</v>
      </c>
      <c r="C46" s="48">
        <v>16000</v>
      </c>
      <c r="D46" s="49">
        <v>1614.9</v>
      </c>
      <c r="E46" s="48">
        <v>3885</v>
      </c>
      <c r="F46" s="49">
        <v>470</v>
      </c>
      <c r="G46" s="48">
        <v>119</v>
      </c>
      <c r="H46" s="49">
        <v>0</v>
      </c>
      <c r="I46" s="48">
        <v>19010</v>
      </c>
      <c r="J46" s="49">
        <v>0</v>
      </c>
      <c r="K46" s="48">
        <v>0</v>
      </c>
      <c r="L46" s="49">
        <v>0</v>
      </c>
      <c r="M46" s="48">
        <f t="shared" si="0"/>
        <v>41098.9</v>
      </c>
      <c r="N46" s="49">
        <v>0</v>
      </c>
      <c r="O46" s="48">
        <v>35000</v>
      </c>
      <c r="P46" s="92">
        <v>35000</v>
      </c>
    </row>
    <row r="47" spans="1:16">
      <c r="A47" s="52">
        <v>2025</v>
      </c>
      <c r="B47" s="54" t="s">
        <v>27</v>
      </c>
      <c r="C47" s="61">
        <v>16000</v>
      </c>
      <c r="D47" s="64">
        <v>843</v>
      </c>
      <c r="E47" s="61">
        <v>13325.66</v>
      </c>
      <c r="F47" s="64">
        <v>1858</v>
      </c>
      <c r="G47" s="61">
        <v>119</v>
      </c>
      <c r="H47" s="64">
        <v>0</v>
      </c>
      <c r="I47" s="61">
        <v>1212</v>
      </c>
      <c r="J47" s="64">
        <v>0</v>
      </c>
      <c r="K47" s="65">
        <v>0</v>
      </c>
      <c r="L47" s="64">
        <v>0</v>
      </c>
      <c r="M47" s="48">
        <f t="shared" si="0"/>
        <v>33357.660000000003</v>
      </c>
      <c r="N47" s="64">
        <v>0</v>
      </c>
      <c r="O47" s="65">
        <v>60000</v>
      </c>
      <c r="P47" s="92">
        <v>60000</v>
      </c>
    </row>
    <row r="48" spans="1:16">
      <c r="A48" s="52">
        <v>2025</v>
      </c>
      <c r="B48" s="54" t="s">
        <v>28</v>
      </c>
      <c r="C48" s="61">
        <v>16000</v>
      </c>
      <c r="D48" s="64">
        <v>1220</v>
      </c>
      <c r="E48" s="61">
        <v>9174.1200000000008</v>
      </c>
      <c r="F48" s="64">
        <v>1555</v>
      </c>
      <c r="G48" s="61">
        <v>1919</v>
      </c>
      <c r="H48" s="64">
        <v>0</v>
      </c>
      <c r="I48" s="61">
        <v>2701</v>
      </c>
      <c r="J48" s="64">
        <v>0</v>
      </c>
      <c r="K48" s="65">
        <v>0</v>
      </c>
      <c r="L48" s="64">
        <v>0</v>
      </c>
      <c r="M48" s="48">
        <f t="shared" si="0"/>
        <v>32569.120000000003</v>
      </c>
      <c r="N48" s="64">
        <v>10000</v>
      </c>
      <c r="O48" s="65">
        <v>47000</v>
      </c>
      <c r="P48" s="92">
        <v>57000</v>
      </c>
    </row>
    <row r="49" spans="1:16">
      <c r="A49" s="52">
        <v>2025</v>
      </c>
      <c r="B49" s="54" t="s">
        <v>29</v>
      </c>
      <c r="C49" s="61">
        <v>16000</v>
      </c>
      <c r="D49" s="64">
        <v>500</v>
      </c>
      <c r="E49" s="61">
        <v>113388.8</v>
      </c>
      <c r="F49" s="64">
        <v>1485</v>
      </c>
      <c r="G49" s="61">
        <v>119</v>
      </c>
      <c r="H49" s="64">
        <v>0</v>
      </c>
      <c r="I49" s="61">
        <v>0</v>
      </c>
      <c r="J49" s="64">
        <v>0</v>
      </c>
      <c r="K49" s="65">
        <v>0</v>
      </c>
      <c r="L49" s="64">
        <v>0</v>
      </c>
      <c r="M49" s="48">
        <f t="shared" si="0"/>
        <v>131492.79999999999</v>
      </c>
      <c r="N49" s="64">
        <v>0</v>
      </c>
      <c r="O49" s="65">
        <v>-2000</v>
      </c>
      <c r="P49" s="92">
        <v>-2000</v>
      </c>
    </row>
    <row r="50" spans="1:16">
      <c r="A50" s="52">
        <v>2025</v>
      </c>
      <c r="B50" s="54" t="s">
        <v>30</v>
      </c>
      <c r="C50" s="61">
        <v>16000</v>
      </c>
      <c r="D50" s="64">
        <v>5929</v>
      </c>
      <c r="E50" s="61">
        <v>34971.71</v>
      </c>
      <c r="F50" s="64">
        <v>759</v>
      </c>
      <c r="G50" s="61">
        <v>119</v>
      </c>
      <c r="H50" s="64">
        <v>0</v>
      </c>
      <c r="I50" s="61">
        <v>6016.7</v>
      </c>
      <c r="J50" s="64">
        <v>0</v>
      </c>
      <c r="K50" s="65">
        <v>4187.8</v>
      </c>
      <c r="L50" s="64">
        <v>0</v>
      </c>
      <c r="M50" s="48">
        <f t="shared" si="0"/>
        <v>67983.209999999992</v>
      </c>
      <c r="N50" s="64">
        <v>10000</v>
      </c>
      <c r="O50" s="65">
        <v>-40000</v>
      </c>
      <c r="P50" s="92">
        <v>-30000</v>
      </c>
    </row>
    <row r="51" spans="1:16">
      <c r="A51" s="52">
        <v>2025</v>
      </c>
      <c r="B51" s="54" t="s">
        <v>31</v>
      </c>
      <c r="C51" s="61">
        <v>16000</v>
      </c>
      <c r="D51" s="64">
        <v>580</v>
      </c>
      <c r="E51" s="61">
        <v>45886.49</v>
      </c>
      <c r="F51" s="64">
        <v>1580</v>
      </c>
      <c r="G51" s="61">
        <v>1919</v>
      </c>
      <c r="H51" s="64">
        <v>0</v>
      </c>
      <c r="I51" s="61">
        <v>7121</v>
      </c>
      <c r="J51" s="64">
        <v>0</v>
      </c>
      <c r="K51" s="65">
        <v>0</v>
      </c>
      <c r="L51" s="64">
        <v>0</v>
      </c>
      <c r="M51" s="48">
        <f t="shared" si="0"/>
        <v>73086.489999999991</v>
      </c>
      <c r="N51" s="64">
        <v>10000</v>
      </c>
      <c r="O51" s="65">
        <v>-13000</v>
      </c>
      <c r="P51" s="92">
        <v>-3000</v>
      </c>
    </row>
    <row r="52" spans="1:16">
      <c r="A52" s="78">
        <v>2025</v>
      </c>
      <c r="B52" s="79" t="s">
        <v>32</v>
      </c>
      <c r="C52" s="80">
        <v>11000</v>
      </c>
      <c r="D52" s="81">
        <v>409</v>
      </c>
      <c r="E52" s="80">
        <v>29879.13</v>
      </c>
      <c r="F52" s="81">
        <v>978.86</v>
      </c>
      <c r="G52" s="80">
        <v>119</v>
      </c>
      <c r="H52" s="81">
        <v>0</v>
      </c>
      <c r="I52" s="80">
        <v>0</v>
      </c>
      <c r="J52" s="81">
        <v>0</v>
      </c>
      <c r="K52" s="82">
        <v>11665</v>
      </c>
      <c r="L52" s="81">
        <v>0</v>
      </c>
      <c r="M52" s="83">
        <f t="shared" si="0"/>
        <v>54050.990000000005</v>
      </c>
      <c r="N52" s="81">
        <v>20000</v>
      </c>
      <c r="O52" s="82">
        <v>0</v>
      </c>
      <c r="P52" s="93">
        <v>20000</v>
      </c>
    </row>
    <row r="53" spans="1:16">
      <c r="A53" s="52">
        <v>2026</v>
      </c>
      <c r="B53" s="54" t="s">
        <v>21</v>
      </c>
      <c r="C53" s="48">
        <v>0</v>
      </c>
      <c r="D53" s="49">
        <v>14.25</v>
      </c>
      <c r="E53" s="48">
        <v>16919.21</v>
      </c>
      <c r="F53" s="49">
        <v>0</v>
      </c>
      <c r="G53" s="48">
        <v>119</v>
      </c>
      <c r="H53" s="49">
        <v>0</v>
      </c>
      <c r="I53" s="48">
        <v>487.55</v>
      </c>
      <c r="J53" s="49">
        <v>0</v>
      </c>
      <c r="K53" s="48">
        <v>0</v>
      </c>
      <c r="L53" s="49">
        <v>0</v>
      </c>
      <c r="M53" s="48">
        <f t="shared" si="0"/>
        <v>17540.009999999998</v>
      </c>
      <c r="N53" s="49">
        <v>10000</v>
      </c>
      <c r="O53" s="48">
        <v>100000</v>
      </c>
      <c r="P53" s="92">
        <v>110000</v>
      </c>
    </row>
    <row r="54" spans="1:16">
      <c r="A54" s="52">
        <v>2026</v>
      </c>
      <c r="B54" s="54" t="s">
        <v>22</v>
      </c>
      <c r="C54" s="48">
        <v>0</v>
      </c>
      <c r="D54" s="49">
        <v>234.25</v>
      </c>
      <c r="E54" s="48">
        <v>15188.65</v>
      </c>
      <c r="F54" s="49">
        <v>0</v>
      </c>
      <c r="G54" s="48">
        <v>119</v>
      </c>
      <c r="H54" s="49">
        <v>0</v>
      </c>
      <c r="I54" s="48">
        <v>0</v>
      </c>
      <c r="J54" s="49">
        <v>0</v>
      </c>
      <c r="K54" s="48">
        <v>0</v>
      </c>
      <c r="L54" s="49">
        <v>0</v>
      </c>
      <c r="M54" s="48">
        <f t="shared" si="0"/>
        <v>15541.9</v>
      </c>
      <c r="N54" s="49">
        <v>10000</v>
      </c>
      <c r="O54" s="48">
        <v>30000</v>
      </c>
      <c r="P54" s="92">
        <v>40000</v>
      </c>
    </row>
    <row r="55" spans="1:16">
      <c r="A55" s="52">
        <v>2026</v>
      </c>
      <c r="B55" s="54" t="s">
        <v>23</v>
      </c>
      <c r="C55" s="48">
        <v>10000</v>
      </c>
      <c r="D55" s="49">
        <v>8535.4</v>
      </c>
      <c r="E55" s="48">
        <v>36098.480000000003</v>
      </c>
      <c r="F55" s="49">
        <v>960</v>
      </c>
      <c r="G55" s="48">
        <v>-1081</v>
      </c>
      <c r="H55" s="49">
        <v>0</v>
      </c>
      <c r="I55" s="48">
        <v>7996.63</v>
      </c>
      <c r="J55" s="49">
        <v>0</v>
      </c>
      <c r="K55" s="48">
        <v>0</v>
      </c>
      <c r="L55" s="49">
        <v>0</v>
      </c>
      <c r="M55" s="48">
        <f t="shared" si="0"/>
        <v>62509.51</v>
      </c>
      <c r="N55" s="49">
        <v>10000</v>
      </c>
      <c r="O55" s="48">
        <v>40000</v>
      </c>
      <c r="P55" s="92">
        <v>50000</v>
      </c>
    </row>
    <row r="56" spans="1:16">
      <c r="A56" s="52">
        <v>2026</v>
      </c>
      <c r="B56" s="54" t="s">
        <v>24</v>
      </c>
      <c r="C56" s="48">
        <v>16000</v>
      </c>
      <c r="D56" s="49">
        <v>765</v>
      </c>
      <c r="E56" s="48">
        <v>28353.87</v>
      </c>
      <c r="F56" s="49">
        <v>1298</v>
      </c>
      <c r="G56" s="48">
        <v>5466</v>
      </c>
      <c r="H56" s="49">
        <v>18271</v>
      </c>
      <c r="I56" s="48">
        <v>809.25</v>
      </c>
      <c r="J56" s="49">
        <v>170</v>
      </c>
      <c r="K56" s="48">
        <v>0</v>
      </c>
      <c r="L56" s="49">
        <v>0</v>
      </c>
      <c r="M56" s="48">
        <f t="shared" si="0"/>
        <v>71133.119999999995</v>
      </c>
      <c r="N56" s="49">
        <v>15000</v>
      </c>
      <c r="O56" s="48">
        <v>3000</v>
      </c>
      <c r="P56" s="92">
        <v>18000</v>
      </c>
    </row>
    <row r="57" spans="1:16">
      <c r="A57" s="52">
        <v>2026</v>
      </c>
      <c r="B57" s="54" t="s">
        <v>25</v>
      </c>
      <c r="C57" s="48">
        <v>16000</v>
      </c>
      <c r="D57" s="49">
        <v>419.1</v>
      </c>
      <c r="E57" s="48">
        <v>19759.59</v>
      </c>
      <c r="F57" s="49">
        <v>1255</v>
      </c>
      <c r="G57" s="48">
        <v>5299</v>
      </c>
      <c r="H57" s="49">
        <v>0</v>
      </c>
      <c r="I57" s="48">
        <v>4879</v>
      </c>
      <c r="J57" s="49">
        <v>1125</v>
      </c>
      <c r="K57" s="48">
        <v>3947</v>
      </c>
      <c r="L57" s="49">
        <v>0</v>
      </c>
      <c r="M57" s="48">
        <f t="shared" si="0"/>
        <v>52683.69</v>
      </c>
      <c r="N57" s="49">
        <v>15000</v>
      </c>
      <c r="O57" s="48">
        <v>37000</v>
      </c>
      <c r="P57" s="92">
        <v>52000</v>
      </c>
    </row>
    <row r="58" spans="1:16">
      <c r="A58" s="52">
        <v>2026</v>
      </c>
      <c r="B58" s="54" t="s">
        <v>26</v>
      </c>
      <c r="C58" s="48">
        <v>16000</v>
      </c>
      <c r="D58" s="49">
        <v>173</v>
      </c>
      <c r="E58" s="48">
        <v>-3200.2</v>
      </c>
      <c r="F58" s="49">
        <v>175</v>
      </c>
      <c r="G58" s="48">
        <v>0</v>
      </c>
      <c r="H58" s="49">
        <v>0</v>
      </c>
      <c r="I58" s="48">
        <v>687.36</v>
      </c>
      <c r="J58" s="49">
        <v>1022.82</v>
      </c>
      <c r="K58" s="48">
        <v>0</v>
      </c>
      <c r="L58" s="49">
        <v>0</v>
      </c>
      <c r="M58" s="48">
        <f t="shared" si="0"/>
        <v>14857.98</v>
      </c>
      <c r="N58" s="49">
        <v>0</v>
      </c>
      <c r="O58" s="48">
        <v>0</v>
      </c>
      <c r="P58" s="92">
        <v>0</v>
      </c>
    </row>
    <row r="59" spans="1:16">
      <c r="A59" s="52">
        <v>2026</v>
      </c>
      <c r="B59" s="54" t="s">
        <v>27</v>
      </c>
      <c r="C59" s="61"/>
      <c r="D59" s="64"/>
      <c r="E59" s="61"/>
      <c r="F59" s="64"/>
      <c r="G59" s="61"/>
      <c r="H59" s="64"/>
      <c r="I59" s="61"/>
      <c r="J59" s="64"/>
      <c r="K59" s="65"/>
      <c r="L59" s="64"/>
      <c r="M59" s="48"/>
      <c r="N59" s="64"/>
      <c r="O59" s="65"/>
      <c r="P59" s="92"/>
    </row>
    <row r="60" spans="1:16">
      <c r="A60" s="52">
        <v>2026</v>
      </c>
      <c r="B60" s="54" t="s">
        <v>28</v>
      </c>
      <c r="C60" s="61"/>
      <c r="D60" s="64"/>
      <c r="E60" s="61"/>
      <c r="F60" s="64"/>
      <c r="G60" s="61"/>
      <c r="H60" s="64"/>
      <c r="I60" s="61"/>
      <c r="J60" s="64"/>
      <c r="K60" s="65"/>
      <c r="L60" s="64"/>
      <c r="M60" s="48"/>
      <c r="N60" s="64"/>
      <c r="O60" s="65"/>
      <c r="P60" s="92"/>
    </row>
    <row r="61" spans="1:16">
      <c r="A61" s="52">
        <v>2026</v>
      </c>
      <c r="B61" s="54" t="s">
        <v>29</v>
      </c>
      <c r="C61" s="61"/>
      <c r="D61" s="64"/>
      <c r="E61" s="61"/>
      <c r="F61" s="64"/>
      <c r="G61" s="61"/>
      <c r="H61" s="64"/>
      <c r="I61" s="61"/>
      <c r="J61" s="64"/>
      <c r="K61" s="65"/>
      <c r="L61" s="64"/>
      <c r="M61" s="48"/>
      <c r="N61" s="64"/>
      <c r="O61" s="65"/>
      <c r="P61" s="92"/>
    </row>
    <row r="62" spans="1:16">
      <c r="A62" s="52">
        <v>2026</v>
      </c>
      <c r="B62" s="54" t="s">
        <v>30</v>
      </c>
      <c r="C62" s="61"/>
      <c r="D62" s="64"/>
      <c r="E62" s="61"/>
      <c r="F62" s="64"/>
      <c r="G62" s="61"/>
      <c r="H62" s="64"/>
      <c r="I62" s="61"/>
      <c r="J62" s="64"/>
      <c r="K62" s="65"/>
      <c r="L62" s="64"/>
      <c r="M62" s="48"/>
      <c r="N62" s="64"/>
      <c r="O62" s="65"/>
      <c r="P62" s="92"/>
    </row>
    <row r="63" spans="1:16">
      <c r="A63" s="52">
        <v>2026</v>
      </c>
      <c r="B63" s="54" t="s">
        <v>31</v>
      </c>
      <c r="C63" s="61"/>
      <c r="D63" s="64"/>
      <c r="E63" s="61"/>
      <c r="F63" s="64"/>
      <c r="G63" s="61"/>
      <c r="H63" s="64"/>
      <c r="I63" s="61"/>
      <c r="J63" s="64"/>
      <c r="K63" s="65"/>
      <c r="L63" s="64"/>
      <c r="M63" s="48"/>
      <c r="N63" s="64"/>
      <c r="O63" s="65"/>
      <c r="P63" s="92"/>
    </row>
    <row r="64" spans="1:16">
      <c r="A64" s="78">
        <v>2026</v>
      </c>
      <c r="B64" s="79" t="s">
        <v>32</v>
      </c>
      <c r="C64" s="80"/>
      <c r="D64" s="81"/>
      <c r="E64" s="80"/>
      <c r="F64" s="81"/>
      <c r="G64" s="80"/>
      <c r="H64" s="81"/>
      <c r="I64" s="80"/>
      <c r="J64" s="81"/>
      <c r="K64" s="82"/>
      <c r="L64" s="81"/>
      <c r="M64" s="83"/>
      <c r="N64" s="81"/>
      <c r="O64" s="82"/>
      <c r="P64" s="93"/>
    </row>
    <row r="65" spans="1:16">
      <c r="A65" s="84">
        <v>2027</v>
      </c>
      <c r="B65" s="85" t="s">
        <v>21</v>
      </c>
      <c r="C65" s="86"/>
      <c r="D65" s="87"/>
      <c r="E65" s="86"/>
      <c r="F65" s="87"/>
      <c r="G65" s="86"/>
      <c r="H65" s="87"/>
      <c r="I65" s="86"/>
      <c r="J65" s="87"/>
      <c r="K65" s="88"/>
      <c r="L65" s="87"/>
      <c r="M65" s="89"/>
      <c r="N65" s="87"/>
      <c r="O65" s="88"/>
      <c r="P65" s="94"/>
    </row>
    <row r="66" spans="1:16">
      <c r="A66" s="52">
        <v>2027</v>
      </c>
      <c r="B66" s="54" t="s">
        <v>22</v>
      </c>
      <c r="C66" s="61"/>
      <c r="D66" s="64"/>
      <c r="E66" s="61"/>
      <c r="F66" s="64"/>
      <c r="G66" s="61"/>
      <c r="H66" s="64"/>
      <c r="I66" s="61"/>
      <c r="J66" s="64"/>
      <c r="K66" s="65"/>
      <c r="L66" s="64"/>
      <c r="M66" s="48"/>
      <c r="N66" s="64"/>
      <c r="O66" s="65"/>
      <c r="P66" s="92"/>
    </row>
    <row r="67" spans="1:16">
      <c r="A67" s="52">
        <v>2027</v>
      </c>
      <c r="B67" s="54" t="s">
        <v>23</v>
      </c>
      <c r="C67" s="61"/>
      <c r="D67" s="64"/>
      <c r="E67" s="61"/>
      <c r="F67" s="64"/>
      <c r="G67" s="61"/>
      <c r="H67" s="64"/>
      <c r="I67" s="61"/>
      <c r="J67" s="64"/>
      <c r="K67" s="65"/>
      <c r="L67" s="64"/>
      <c r="M67" s="48"/>
      <c r="N67" s="64"/>
      <c r="O67" s="65"/>
      <c r="P67" s="92"/>
    </row>
    <row r="68" spans="1:16">
      <c r="A68" s="52">
        <v>2027</v>
      </c>
      <c r="B68" s="54" t="s">
        <v>24</v>
      </c>
      <c r="C68" s="61"/>
      <c r="D68" s="64"/>
      <c r="E68" s="61"/>
      <c r="F68" s="64"/>
      <c r="G68" s="61"/>
      <c r="H68" s="64"/>
      <c r="I68" s="61"/>
      <c r="J68" s="64"/>
      <c r="K68" s="65"/>
      <c r="L68" s="64"/>
      <c r="M68" s="48"/>
      <c r="N68" s="64"/>
      <c r="O68" s="65"/>
      <c r="P68" s="92"/>
    </row>
    <row r="69" spans="1:16">
      <c r="A69" s="52">
        <v>2027</v>
      </c>
      <c r="B69" s="54" t="s">
        <v>25</v>
      </c>
      <c r="C69" s="61"/>
      <c r="D69" s="64"/>
      <c r="E69" s="61"/>
      <c r="F69" s="64"/>
      <c r="G69" s="61"/>
      <c r="H69" s="64"/>
      <c r="I69" s="61"/>
      <c r="J69" s="64"/>
      <c r="K69" s="65"/>
      <c r="L69" s="64"/>
      <c r="M69" s="48"/>
      <c r="N69" s="64"/>
      <c r="O69" s="65"/>
      <c r="P69" s="92"/>
    </row>
    <row r="70" spans="1:16">
      <c r="A70" s="52">
        <v>2027</v>
      </c>
      <c r="B70" s="54" t="s">
        <v>26</v>
      </c>
      <c r="C70" s="61"/>
      <c r="D70" s="64"/>
      <c r="E70" s="61"/>
      <c r="F70" s="64"/>
      <c r="G70" s="61"/>
      <c r="H70" s="64"/>
      <c r="I70" s="61"/>
      <c r="J70" s="64"/>
      <c r="K70" s="65"/>
      <c r="L70" s="64"/>
      <c r="M70" s="48"/>
      <c r="N70" s="64"/>
      <c r="O70" s="65"/>
      <c r="P70" s="92"/>
    </row>
    <row r="71" spans="1:16">
      <c r="A71" s="52">
        <v>2027</v>
      </c>
      <c r="B71" s="54" t="s">
        <v>27</v>
      </c>
      <c r="C71" s="61"/>
      <c r="D71" s="64"/>
      <c r="E71" s="61"/>
      <c r="F71" s="64"/>
      <c r="G71" s="61"/>
      <c r="H71" s="64"/>
      <c r="I71" s="61"/>
      <c r="J71" s="64"/>
      <c r="K71" s="65"/>
      <c r="L71" s="64"/>
      <c r="M71" s="48"/>
      <c r="N71" s="64"/>
      <c r="O71" s="65"/>
      <c r="P71" s="92"/>
    </row>
    <row r="72" spans="1:16">
      <c r="A72" s="52">
        <v>2027</v>
      </c>
      <c r="B72" s="54" t="s">
        <v>28</v>
      </c>
      <c r="C72" s="61"/>
      <c r="D72" s="64"/>
      <c r="E72" s="61"/>
      <c r="F72" s="64"/>
      <c r="G72" s="61"/>
      <c r="H72" s="64"/>
      <c r="I72" s="61"/>
      <c r="J72" s="64"/>
      <c r="K72" s="65"/>
      <c r="L72" s="64"/>
      <c r="M72" s="48"/>
      <c r="N72" s="64"/>
      <c r="O72" s="65"/>
      <c r="P72" s="92"/>
    </row>
    <row r="73" spans="1:16">
      <c r="A73" s="52">
        <v>2027</v>
      </c>
      <c r="B73" s="54" t="s">
        <v>29</v>
      </c>
      <c r="C73" s="61"/>
      <c r="D73" s="64"/>
      <c r="E73" s="61"/>
      <c r="F73" s="64"/>
      <c r="G73" s="61"/>
      <c r="H73" s="64"/>
      <c r="I73" s="61"/>
      <c r="J73" s="64"/>
      <c r="K73" s="65"/>
      <c r="L73" s="64"/>
      <c r="M73" s="48"/>
      <c r="N73" s="64"/>
      <c r="O73" s="65"/>
      <c r="P73" s="92"/>
    </row>
    <row r="74" spans="1:16">
      <c r="A74" s="52">
        <v>2027</v>
      </c>
      <c r="B74" s="54" t="s">
        <v>30</v>
      </c>
      <c r="C74" s="61"/>
      <c r="D74" s="64"/>
      <c r="E74" s="61"/>
      <c r="F74" s="64"/>
      <c r="G74" s="61"/>
      <c r="H74" s="64"/>
      <c r="I74" s="61"/>
      <c r="J74" s="64"/>
      <c r="K74" s="65"/>
      <c r="L74" s="64"/>
      <c r="M74" s="48"/>
      <c r="N74" s="64"/>
      <c r="O74" s="65"/>
      <c r="P74" s="92"/>
    </row>
    <row r="75" spans="1:16">
      <c r="A75" s="52">
        <v>2027</v>
      </c>
      <c r="B75" s="54" t="s">
        <v>31</v>
      </c>
      <c r="C75" s="61"/>
      <c r="D75" s="64"/>
      <c r="E75" s="61"/>
      <c r="F75" s="64"/>
      <c r="G75" s="61"/>
      <c r="H75" s="64"/>
      <c r="I75" s="61"/>
      <c r="J75" s="64"/>
      <c r="K75" s="65"/>
      <c r="L75" s="64"/>
      <c r="M75" s="48"/>
      <c r="N75" s="64"/>
      <c r="O75" s="65"/>
      <c r="P75" s="92"/>
    </row>
    <row r="76" spans="1:16">
      <c r="A76" s="78">
        <v>2027</v>
      </c>
      <c r="B76" s="79" t="s">
        <v>32</v>
      </c>
      <c r="C76" s="80"/>
      <c r="D76" s="81"/>
      <c r="E76" s="80"/>
      <c r="F76" s="81"/>
      <c r="G76" s="80"/>
      <c r="H76" s="81"/>
      <c r="I76" s="80"/>
      <c r="J76" s="81"/>
      <c r="K76" s="82"/>
      <c r="L76" s="81"/>
      <c r="M76" s="83"/>
      <c r="N76" s="81"/>
      <c r="O76" s="82"/>
      <c r="P76" s="93"/>
    </row>
    <row r="77" spans="1:16">
      <c r="A77" s="84">
        <v>2028</v>
      </c>
      <c r="B77" s="85" t="s">
        <v>21</v>
      </c>
      <c r="C77" s="86"/>
      <c r="D77" s="87"/>
      <c r="E77" s="86"/>
      <c r="F77" s="87"/>
      <c r="G77" s="86"/>
      <c r="H77" s="87"/>
      <c r="I77" s="86"/>
      <c r="J77" s="87"/>
      <c r="K77" s="88"/>
      <c r="L77" s="87"/>
      <c r="M77" s="89"/>
      <c r="N77" s="87"/>
      <c r="O77" s="88"/>
      <c r="P77" s="94"/>
    </row>
    <row r="78" spans="1:16">
      <c r="A78" s="52">
        <v>2028</v>
      </c>
      <c r="B78" s="54" t="s">
        <v>22</v>
      </c>
      <c r="C78" s="61"/>
      <c r="D78" s="64"/>
      <c r="E78" s="61"/>
      <c r="F78" s="64"/>
      <c r="G78" s="61"/>
      <c r="H78" s="64"/>
      <c r="I78" s="61"/>
      <c r="J78" s="64"/>
      <c r="K78" s="65"/>
      <c r="L78" s="64"/>
      <c r="M78" s="48"/>
      <c r="N78" s="64"/>
      <c r="O78" s="65"/>
      <c r="P78" s="92"/>
    </row>
    <row r="79" spans="1:16">
      <c r="A79" s="52">
        <v>2028</v>
      </c>
      <c r="B79" s="54" t="s">
        <v>23</v>
      </c>
      <c r="C79" s="61"/>
      <c r="D79" s="64"/>
      <c r="E79" s="61"/>
      <c r="F79" s="64"/>
      <c r="G79" s="61"/>
      <c r="H79" s="64"/>
      <c r="I79" s="61"/>
      <c r="J79" s="64"/>
      <c r="K79" s="65"/>
      <c r="L79" s="64"/>
      <c r="M79" s="48"/>
      <c r="N79" s="64"/>
      <c r="O79" s="65"/>
      <c r="P79" s="92"/>
    </row>
    <row r="80" spans="1:16">
      <c r="A80" s="52">
        <v>2028</v>
      </c>
      <c r="B80" s="54" t="s">
        <v>24</v>
      </c>
      <c r="C80" s="61"/>
      <c r="D80" s="64"/>
      <c r="E80" s="61"/>
      <c r="F80" s="64"/>
      <c r="G80" s="61"/>
      <c r="H80" s="64"/>
      <c r="I80" s="61"/>
      <c r="J80" s="64"/>
      <c r="K80" s="65"/>
      <c r="L80" s="64"/>
      <c r="M80" s="48"/>
      <c r="N80" s="64"/>
      <c r="O80" s="65"/>
      <c r="P80" s="92"/>
    </row>
    <row r="81" spans="1:16">
      <c r="A81" s="52">
        <v>2028</v>
      </c>
      <c r="B81" s="54" t="s">
        <v>25</v>
      </c>
      <c r="C81" s="61"/>
      <c r="D81" s="64"/>
      <c r="E81" s="61"/>
      <c r="F81" s="64"/>
      <c r="G81" s="61"/>
      <c r="H81" s="64"/>
      <c r="I81" s="61"/>
      <c r="J81" s="64"/>
      <c r="K81" s="65"/>
      <c r="L81" s="64"/>
      <c r="M81" s="48"/>
      <c r="N81" s="64"/>
      <c r="O81" s="65"/>
      <c r="P81" s="92"/>
    </row>
    <row r="82" spans="1:16">
      <c r="A82" s="52">
        <v>2028</v>
      </c>
      <c r="B82" s="54" t="s">
        <v>26</v>
      </c>
      <c r="C82" s="61"/>
      <c r="D82" s="64"/>
      <c r="E82" s="61"/>
      <c r="F82" s="64"/>
      <c r="G82" s="61"/>
      <c r="H82" s="64"/>
      <c r="I82" s="61"/>
      <c r="J82" s="64"/>
      <c r="K82" s="65"/>
      <c r="L82" s="64"/>
      <c r="M82" s="48"/>
      <c r="N82" s="64"/>
      <c r="O82" s="65"/>
      <c r="P82" s="92"/>
    </row>
    <row r="83" spans="1:16">
      <c r="A83" s="52">
        <v>2028</v>
      </c>
      <c r="B83" s="54" t="s">
        <v>27</v>
      </c>
      <c r="C83" s="61"/>
      <c r="D83" s="64"/>
      <c r="E83" s="61"/>
      <c r="F83" s="64"/>
      <c r="G83" s="61"/>
      <c r="H83" s="64"/>
      <c r="I83" s="61"/>
      <c r="J83" s="64"/>
      <c r="K83" s="65"/>
      <c r="L83" s="64"/>
      <c r="M83" s="48"/>
      <c r="N83" s="64"/>
      <c r="O83" s="65"/>
      <c r="P83" s="92"/>
    </row>
    <row r="84" spans="1:16">
      <c r="A84" s="52">
        <v>2028</v>
      </c>
      <c r="B84" s="54" t="s">
        <v>28</v>
      </c>
      <c r="C84" s="61"/>
      <c r="D84" s="64"/>
      <c r="E84" s="61"/>
      <c r="F84" s="64"/>
      <c r="G84" s="61"/>
      <c r="H84" s="64"/>
      <c r="I84" s="61"/>
      <c r="J84" s="64"/>
      <c r="K84" s="65"/>
      <c r="L84" s="64"/>
      <c r="M84" s="48"/>
      <c r="N84" s="64"/>
      <c r="O84" s="65"/>
      <c r="P84" s="92"/>
    </row>
    <row r="85" spans="1:16">
      <c r="A85" s="52">
        <v>2028</v>
      </c>
      <c r="B85" s="54" t="s">
        <v>29</v>
      </c>
      <c r="C85" s="61"/>
      <c r="D85" s="64"/>
      <c r="E85" s="61"/>
      <c r="F85" s="64"/>
      <c r="G85" s="61"/>
      <c r="H85" s="64"/>
      <c r="I85" s="61"/>
      <c r="J85" s="64"/>
      <c r="K85" s="65"/>
      <c r="L85" s="64"/>
      <c r="M85" s="48"/>
      <c r="N85" s="64"/>
      <c r="O85" s="65"/>
      <c r="P85" s="92"/>
    </row>
    <row r="86" spans="1:16">
      <c r="A86" s="52">
        <v>2028</v>
      </c>
      <c r="B86" s="54" t="s">
        <v>30</v>
      </c>
      <c r="C86" s="61"/>
      <c r="D86" s="64"/>
      <c r="E86" s="61"/>
      <c r="F86" s="64"/>
      <c r="G86" s="61"/>
      <c r="H86" s="64"/>
      <c r="I86" s="61"/>
      <c r="J86" s="64"/>
      <c r="K86" s="65"/>
      <c r="L86" s="64"/>
      <c r="M86" s="48"/>
      <c r="N86" s="64"/>
      <c r="O86" s="65"/>
      <c r="P86" s="92"/>
    </row>
    <row r="87" spans="1:16">
      <c r="A87" s="52">
        <v>2028</v>
      </c>
      <c r="B87" s="54" t="s">
        <v>31</v>
      </c>
      <c r="C87" s="61"/>
      <c r="D87" s="64"/>
      <c r="E87" s="61"/>
      <c r="F87" s="64"/>
      <c r="G87" s="61"/>
      <c r="H87" s="64"/>
      <c r="I87" s="61"/>
      <c r="J87" s="64"/>
      <c r="K87" s="65"/>
      <c r="L87" s="64"/>
      <c r="M87" s="48"/>
      <c r="N87" s="64"/>
      <c r="O87" s="65"/>
      <c r="P87" s="92"/>
    </row>
    <row r="88" spans="1:16">
      <c r="A88" s="52">
        <v>2028</v>
      </c>
      <c r="B88" s="54" t="s">
        <v>32</v>
      </c>
      <c r="C88" s="61"/>
      <c r="D88" s="64"/>
      <c r="E88" s="61"/>
      <c r="F88" s="64"/>
      <c r="G88" s="61"/>
      <c r="H88" s="64"/>
      <c r="I88" s="61"/>
      <c r="J88" s="64"/>
      <c r="K88" s="65"/>
      <c r="L88" s="64"/>
      <c r="M88" s="48"/>
      <c r="N88" s="64"/>
      <c r="O88" s="65"/>
      <c r="P88" s="92"/>
    </row>
    <row r="89" spans="1:16">
      <c r="A89" s="78">
        <v>2029</v>
      </c>
      <c r="B89" s="79" t="s">
        <v>21</v>
      </c>
      <c r="C89" s="80"/>
      <c r="D89" s="81"/>
      <c r="E89" s="80"/>
      <c r="F89" s="81"/>
      <c r="G89" s="80"/>
      <c r="H89" s="81"/>
      <c r="I89" s="80"/>
      <c r="J89" s="81"/>
      <c r="K89" s="82"/>
      <c r="L89" s="81"/>
      <c r="M89" s="83"/>
      <c r="N89" s="81"/>
      <c r="O89" s="82"/>
      <c r="P89" s="93"/>
    </row>
    <row r="90" spans="1:16">
      <c r="A90" s="84">
        <v>2029</v>
      </c>
      <c r="B90" s="85" t="s">
        <v>22</v>
      </c>
      <c r="C90" s="86"/>
      <c r="D90" s="87"/>
      <c r="E90" s="86"/>
      <c r="F90" s="87"/>
      <c r="G90" s="86"/>
      <c r="H90" s="87"/>
      <c r="I90" s="86"/>
      <c r="J90" s="87"/>
      <c r="K90" s="88"/>
      <c r="L90" s="87"/>
      <c r="M90" s="89"/>
      <c r="N90" s="87"/>
      <c r="O90" s="88"/>
      <c r="P90" s="94"/>
    </row>
    <row r="91" spans="1:16">
      <c r="A91" s="52">
        <v>2029</v>
      </c>
      <c r="B91" s="54" t="s">
        <v>23</v>
      </c>
      <c r="C91" s="61"/>
      <c r="D91" s="64"/>
      <c r="E91" s="61"/>
      <c r="F91" s="64"/>
      <c r="G91" s="61"/>
      <c r="H91" s="64"/>
      <c r="I91" s="61"/>
      <c r="J91" s="64"/>
      <c r="K91" s="65"/>
      <c r="L91" s="64"/>
      <c r="M91" s="48"/>
      <c r="N91" s="64"/>
      <c r="O91" s="65"/>
      <c r="P91" s="92"/>
    </row>
    <row r="92" spans="1:16">
      <c r="A92" s="52">
        <v>2029</v>
      </c>
      <c r="B92" s="54" t="s">
        <v>24</v>
      </c>
      <c r="C92" s="61"/>
      <c r="D92" s="64"/>
      <c r="E92" s="61"/>
      <c r="F92" s="64"/>
      <c r="G92" s="61"/>
      <c r="H92" s="64"/>
      <c r="I92" s="61"/>
      <c r="J92" s="64"/>
      <c r="K92" s="65"/>
      <c r="L92" s="64"/>
      <c r="M92" s="48"/>
      <c r="N92" s="64"/>
      <c r="O92" s="65"/>
      <c r="P92" s="92"/>
    </row>
    <row r="93" spans="1:16">
      <c r="A93" s="52">
        <v>2029</v>
      </c>
      <c r="B93" s="54" t="s">
        <v>25</v>
      </c>
      <c r="C93" s="61"/>
      <c r="D93" s="64"/>
      <c r="E93" s="61"/>
      <c r="F93" s="64"/>
      <c r="G93" s="61"/>
      <c r="H93" s="64"/>
      <c r="I93" s="61"/>
      <c r="J93" s="64"/>
      <c r="K93" s="65"/>
      <c r="L93" s="64"/>
      <c r="M93" s="48"/>
      <c r="N93" s="64"/>
      <c r="O93" s="65"/>
      <c r="P93" s="92"/>
    </row>
    <row r="94" spans="1:16">
      <c r="A94" s="52">
        <v>2029</v>
      </c>
      <c r="B94" s="54" t="s">
        <v>26</v>
      </c>
      <c r="C94" s="61"/>
      <c r="D94" s="64"/>
      <c r="E94" s="61"/>
      <c r="F94" s="64"/>
      <c r="G94" s="61"/>
      <c r="H94" s="64"/>
      <c r="I94" s="61"/>
      <c r="J94" s="64"/>
      <c r="K94" s="65"/>
      <c r="L94" s="64"/>
      <c r="M94" s="48"/>
      <c r="N94" s="64"/>
      <c r="O94" s="65"/>
      <c r="P94" s="92"/>
    </row>
    <row r="95" spans="1:16">
      <c r="A95" s="52">
        <v>2029</v>
      </c>
      <c r="B95" s="54" t="s">
        <v>27</v>
      </c>
      <c r="C95" s="61"/>
      <c r="D95" s="64"/>
      <c r="E95" s="61"/>
      <c r="F95" s="64"/>
      <c r="G95" s="61"/>
      <c r="H95" s="64"/>
      <c r="I95" s="61"/>
      <c r="J95" s="64"/>
      <c r="K95" s="65"/>
      <c r="L95" s="64"/>
      <c r="M95" s="48"/>
      <c r="N95" s="64"/>
      <c r="O95" s="65"/>
      <c r="P95" s="92"/>
    </row>
    <row r="96" spans="1:16">
      <c r="A96" s="52">
        <v>2029</v>
      </c>
      <c r="B96" s="54" t="s">
        <v>28</v>
      </c>
      <c r="C96" s="61"/>
      <c r="D96" s="64"/>
      <c r="E96" s="61"/>
      <c r="F96" s="64"/>
      <c r="G96" s="61"/>
      <c r="H96" s="64"/>
      <c r="I96" s="61"/>
      <c r="J96" s="64"/>
      <c r="K96" s="65"/>
      <c r="L96" s="64"/>
      <c r="M96" s="48"/>
      <c r="N96" s="64"/>
      <c r="O96" s="65"/>
      <c r="P96" s="92"/>
    </row>
    <row r="97" spans="1:16">
      <c r="A97" s="52">
        <v>2029</v>
      </c>
      <c r="B97" s="54" t="s">
        <v>29</v>
      </c>
      <c r="C97" s="61"/>
      <c r="D97" s="64"/>
      <c r="E97" s="61"/>
      <c r="F97" s="64"/>
      <c r="G97" s="61"/>
      <c r="H97" s="64"/>
      <c r="I97" s="61"/>
      <c r="J97" s="64"/>
      <c r="K97" s="65"/>
      <c r="L97" s="64"/>
      <c r="M97" s="48"/>
      <c r="N97" s="64"/>
      <c r="O97" s="65"/>
      <c r="P97" s="92"/>
    </row>
    <row r="98" spans="1:16">
      <c r="A98" s="52">
        <v>2029</v>
      </c>
      <c r="B98" s="54" t="s">
        <v>30</v>
      </c>
      <c r="C98" s="61"/>
      <c r="D98" s="64"/>
      <c r="E98" s="61"/>
      <c r="F98" s="64"/>
      <c r="G98" s="61"/>
      <c r="H98" s="64"/>
      <c r="I98" s="61"/>
      <c r="J98" s="64"/>
      <c r="K98" s="65"/>
      <c r="L98" s="64"/>
      <c r="M98" s="48"/>
      <c r="N98" s="64"/>
      <c r="O98" s="65"/>
      <c r="P98" s="92"/>
    </row>
    <row r="99" spans="1:16">
      <c r="A99" s="52">
        <v>2029</v>
      </c>
      <c r="B99" s="54" t="s">
        <v>31</v>
      </c>
      <c r="C99" s="61"/>
      <c r="D99" s="64"/>
      <c r="E99" s="61"/>
      <c r="F99" s="64"/>
      <c r="G99" s="61"/>
      <c r="H99" s="64"/>
      <c r="I99" s="61"/>
      <c r="J99" s="64"/>
      <c r="K99" s="65"/>
      <c r="L99" s="64"/>
      <c r="M99" s="48"/>
      <c r="N99" s="64"/>
      <c r="O99" s="65"/>
      <c r="P99" s="92"/>
    </row>
    <row r="100" spans="1:16">
      <c r="A100" s="78">
        <v>2029</v>
      </c>
      <c r="B100" s="79" t="s">
        <v>32</v>
      </c>
      <c r="C100" s="80"/>
      <c r="D100" s="81"/>
      <c r="E100" s="80"/>
      <c r="F100" s="81"/>
      <c r="G100" s="80"/>
      <c r="H100" s="81"/>
      <c r="I100" s="80"/>
      <c r="J100" s="81"/>
      <c r="K100" s="82"/>
      <c r="L100" s="81"/>
      <c r="M100" s="83"/>
      <c r="N100" s="81"/>
      <c r="O100" s="82"/>
      <c r="P100" s="93"/>
    </row>
    <row r="101" spans="1:16">
      <c r="A101" s="84">
        <v>2030</v>
      </c>
      <c r="B101" s="85" t="s">
        <v>21</v>
      </c>
      <c r="C101" s="86"/>
      <c r="D101" s="87"/>
      <c r="E101" s="86"/>
      <c r="F101" s="87"/>
      <c r="G101" s="86"/>
      <c r="H101" s="87"/>
      <c r="I101" s="86"/>
      <c r="J101" s="87"/>
      <c r="K101" s="88"/>
      <c r="L101" s="87"/>
      <c r="M101" s="89"/>
      <c r="N101" s="87"/>
      <c r="O101" s="88"/>
      <c r="P101" s="94"/>
    </row>
    <row r="102" spans="1:16">
      <c r="A102" s="52">
        <v>2030</v>
      </c>
      <c r="B102" s="54" t="s">
        <v>22</v>
      </c>
      <c r="C102" s="61"/>
      <c r="D102" s="64"/>
      <c r="E102" s="61"/>
      <c r="F102" s="64"/>
      <c r="G102" s="61"/>
      <c r="H102" s="64"/>
      <c r="I102" s="61"/>
      <c r="J102" s="64"/>
      <c r="K102" s="65"/>
      <c r="L102" s="64"/>
      <c r="M102" s="48"/>
      <c r="N102" s="64"/>
      <c r="O102" s="65"/>
      <c r="P102" s="92"/>
    </row>
    <row r="103" spans="1:16">
      <c r="A103" s="52">
        <v>2030</v>
      </c>
      <c r="B103" s="54" t="s">
        <v>23</v>
      </c>
      <c r="C103" s="61"/>
      <c r="D103" s="64"/>
      <c r="E103" s="61"/>
      <c r="F103" s="64"/>
      <c r="G103" s="61"/>
      <c r="H103" s="64"/>
      <c r="I103" s="61"/>
      <c r="J103" s="64"/>
      <c r="K103" s="65"/>
      <c r="L103" s="64"/>
      <c r="M103" s="48"/>
      <c r="N103" s="64"/>
      <c r="O103" s="65"/>
      <c r="P103" s="92"/>
    </row>
    <row r="104" spans="1:16">
      <c r="A104" s="52">
        <v>2030</v>
      </c>
      <c r="B104" s="54" t="s">
        <v>24</v>
      </c>
      <c r="C104" s="61"/>
      <c r="D104" s="64"/>
      <c r="E104" s="61"/>
      <c r="F104" s="64"/>
      <c r="G104" s="61"/>
      <c r="H104" s="64"/>
      <c r="I104" s="61"/>
      <c r="J104" s="64"/>
      <c r="K104" s="65"/>
      <c r="L104" s="64"/>
      <c r="M104" s="48"/>
      <c r="N104" s="64"/>
      <c r="O104" s="65"/>
      <c r="P104" s="92"/>
    </row>
    <row r="105" spans="1:16">
      <c r="A105" s="52">
        <v>2030</v>
      </c>
      <c r="B105" s="54" t="s">
        <v>25</v>
      </c>
      <c r="C105" s="61"/>
      <c r="D105" s="64"/>
      <c r="E105" s="61"/>
      <c r="F105" s="64"/>
      <c r="G105" s="61"/>
      <c r="H105" s="64"/>
      <c r="I105" s="61"/>
      <c r="J105" s="64"/>
      <c r="K105" s="65"/>
      <c r="L105" s="64"/>
      <c r="M105" s="48"/>
      <c r="N105" s="64"/>
      <c r="O105" s="65"/>
      <c r="P105" s="92"/>
    </row>
    <row r="106" spans="1:16">
      <c r="A106" s="52">
        <v>2030</v>
      </c>
      <c r="B106" s="54" t="s">
        <v>26</v>
      </c>
      <c r="C106" s="61"/>
      <c r="D106" s="64"/>
      <c r="E106" s="61"/>
      <c r="F106" s="64"/>
      <c r="G106" s="61"/>
      <c r="H106" s="64"/>
      <c r="I106" s="61"/>
      <c r="J106" s="64"/>
      <c r="K106" s="65"/>
      <c r="L106" s="64"/>
      <c r="M106" s="48"/>
      <c r="N106" s="64"/>
      <c r="O106" s="65"/>
      <c r="P106" s="92"/>
    </row>
    <row r="107" spans="1:16">
      <c r="A107" s="52">
        <v>2030</v>
      </c>
      <c r="B107" s="54" t="s">
        <v>27</v>
      </c>
      <c r="C107" s="61"/>
      <c r="D107" s="64"/>
      <c r="E107" s="61"/>
      <c r="F107" s="64"/>
      <c r="G107" s="61"/>
      <c r="H107" s="64"/>
      <c r="I107" s="61"/>
      <c r="J107" s="64"/>
      <c r="K107" s="65"/>
      <c r="L107" s="64"/>
      <c r="M107" s="48"/>
      <c r="N107" s="64"/>
      <c r="O107" s="65"/>
      <c r="P107" s="92"/>
    </row>
    <row r="108" spans="1:16">
      <c r="A108" s="52">
        <v>2030</v>
      </c>
      <c r="B108" s="54" t="s">
        <v>28</v>
      </c>
      <c r="C108" s="61"/>
      <c r="D108" s="64"/>
      <c r="E108" s="61"/>
      <c r="F108" s="64"/>
      <c r="G108" s="61"/>
      <c r="H108" s="64"/>
      <c r="I108" s="61"/>
      <c r="J108" s="64"/>
      <c r="K108" s="65"/>
      <c r="L108" s="64"/>
      <c r="M108" s="48"/>
      <c r="N108" s="64"/>
      <c r="O108" s="65"/>
      <c r="P108" s="92"/>
    </row>
    <row r="109" spans="1:16">
      <c r="A109" s="52">
        <v>2030</v>
      </c>
      <c r="B109" s="54" t="s">
        <v>29</v>
      </c>
      <c r="C109" s="61"/>
      <c r="D109" s="64"/>
      <c r="E109" s="61"/>
      <c r="F109" s="64"/>
      <c r="G109" s="61"/>
      <c r="H109" s="64"/>
      <c r="I109" s="61"/>
      <c r="J109" s="64"/>
      <c r="K109" s="65"/>
      <c r="L109" s="64"/>
      <c r="M109" s="48"/>
      <c r="N109" s="64"/>
      <c r="O109" s="65"/>
      <c r="P109" s="92"/>
    </row>
    <row r="110" spans="1:16">
      <c r="A110" s="52">
        <v>2030</v>
      </c>
      <c r="B110" s="54" t="s">
        <v>30</v>
      </c>
      <c r="C110" s="61"/>
      <c r="D110" s="64"/>
      <c r="E110" s="61"/>
      <c r="F110" s="64"/>
      <c r="G110" s="61"/>
      <c r="H110" s="64"/>
      <c r="I110" s="61"/>
      <c r="J110" s="64"/>
      <c r="K110" s="65"/>
      <c r="L110" s="64"/>
      <c r="M110" s="48"/>
      <c r="N110" s="64"/>
      <c r="O110" s="65"/>
      <c r="P110" s="92"/>
    </row>
    <row r="111" spans="1:16">
      <c r="A111" s="52">
        <v>2030</v>
      </c>
      <c r="B111" s="54" t="s">
        <v>31</v>
      </c>
      <c r="C111" s="61"/>
      <c r="D111" s="64"/>
      <c r="E111" s="61"/>
      <c r="F111" s="64"/>
      <c r="G111" s="61"/>
      <c r="H111" s="64"/>
      <c r="I111" s="61"/>
      <c r="J111" s="64"/>
      <c r="K111" s="65"/>
      <c r="L111" s="64"/>
      <c r="M111" s="48"/>
      <c r="N111" s="64"/>
      <c r="O111" s="65"/>
      <c r="P111" s="92"/>
    </row>
    <row r="112" spans="1:16">
      <c r="A112" s="78">
        <v>2030</v>
      </c>
      <c r="B112" s="79" t="s">
        <v>32</v>
      </c>
      <c r="C112" s="80"/>
      <c r="D112" s="81"/>
      <c r="E112" s="80"/>
      <c r="F112" s="81"/>
      <c r="G112" s="80"/>
      <c r="H112" s="81"/>
      <c r="I112" s="80"/>
      <c r="J112" s="81"/>
      <c r="K112" s="82"/>
      <c r="L112" s="81"/>
      <c r="M112" s="83"/>
      <c r="N112" s="81"/>
      <c r="O112" s="82"/>
      <c r="P112" s="93"/>
    </row>
  </sheetData>
  <mergeCells count="4">
    <mergeCell ref="A1:P2"/>
    <mergeCell ref="A3:B3"/>
    <mergeCell ref="C3:M3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5D80-4D43-4EA6-BB9F-14517E989285}">
  <dimension ref="A1:AG112"/>
  <sheetViews>
    <sheetView showGridLines="0" zoomScale="85" zoomScaleNormal="85" workbookViewId="0">
      <pane ySplit="4" topLeftCell="A15" activePane="bottomLeft" state="frozen"/>
      <selection pane="bottomLeft" activeCell="R31" sqref="R31"/>
      <selection activeCell="B1" sqref="B1"/>
    </sheetView>
  </sheetViews>
  <sheetFormatPr defaultColWidth="8.85546875" defaultRowHeight="14.45"/>
  <cols>
    <col min="1" max="1" width="9.7109375" style="53" customWidth="1"/>
    <col min="2" max="2" width="10.7109375" style="46" bestFit="1" customWidth="1"/>
    <col min="3" max="3" width="12" style="60" bestFit="1" customWidth="1"/>
    <col min="4" max="4" width="10.42578125" style="62" bestFit="1" customWidth="1"/>
    <col min="5" max="5" width="10.42578125" style="60" bestFit="1" customWidth="1"/>
    <col min="6" max="6" width="10.42578125" style="62" bestFit="1" customWidth="1"/>
    <col min="7" max="7" width="10.42578125" style="60" bestFit="1" customWidth="1"/>
    <col min="8" max="8" width="10.42578125" style="62" bestFit="1" customWidth="1"/>
    <col min="9" max="9" width="9.28515625" style="60" bestFit="1" customWidth="1"/>
    <col min="10" max="10" width="9.28515625" style="62" bestFit="1" customWidth="1"/>
    <col min="11" max="11" width="9.28515625" style="63" customWidth="1"/>
    <col min="12" max="12" width="9.28515625" style="62" bestFit="1" customWidth="1"/>
    <col min="13" max="13" width="12" style="63" bestFit="1" customWidth="1"/>
    <col min="14" max="14" width="12.85546875" style="62" bestFit="1" customWidth="1"/>
    <col min="15" max="15" width="10.42578125" style="63" bestFit="1" customWidth="1"/>
    <col min="16" max="16" width="13.28515625" style="47" customWidth="1"/>
    <col min="17" max="18" width="8.85546875" style="41"/>
    <col min="19" max="19" width="10.42578125" style="41" bestFit="1" customWidth="1"/>
    <col min="20" max="21" width="8.85546875" style="41"/>
    <col min="22" max="22" width="9" style="41" bestFit="1" customWidth="1"/>
    <col min="23" max="29" width="8.85546875" style="41"/>
    <col min="30" max="30" width="9" style="41" bestFit="1" customWidth="1"/>
    <col min="31" max="31" width="8.85546875" style="41"/>
    <col min="32" max="32" width="9" style="41" bestFit="1" customWidth="1"/>
    <col min="33" max="33" width="9.140625" style="42" customWidth="1"/>
    <col min="34" max="16384" width="8.85546875" style="41"/>
  </cols>
  <sheetData>
    <row r="1" spans="1:33" ht="22.15" customHeight="1">
      <c r="A1" s="133" t="s">
        <v>40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33" ht="22.15" customHeight="1" thickBo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33" ht="15" thickBot="1">
      <c r="A3" s="134"/>
      <c r="B3" s="135"/>
      <c r="C3" s="136" t="s">
        <v>5</v>
      </c>
      <c r="D3" s="137"/>
      <c r="E3" s="137"/>
      <c r="F3" s="137"/>
      <c r="G3" s="137"/>
      <c r="H3" s="137"/>
      <c r="I3" s="137"/>
      <c r="J3" s="137"/>
      <c r="K3" s="137"/>
      <c r="L3" s="137"/>
      <c r="M3" s="135"/>
      <c r="N3" s="136" t="s">
        <v>6</v>
      </c>
      <c r="O3" s="137"/>
      <c r="P3" s="138"/>
    </row>
    <row r="4" spans="1:33" ht="15">
      <c r="A4" s="68" t="s">
        <v>7</v>
      </c>
      <c r="B4" s="69" t="s">
        <v>8</v>
      </c>
      <c r="C4" s="70" t="s">
        <v>9</v>
      </c>
      <c r="D4" s="71" t="s">
        <v>10</v>
      </c>
      <c r="E4" s="72" t="s">
        <v>11</v>
      </c>
      <c r="F4" s="72" t="s">
        <v>12</v>
      </c>
      <c r="G4" s="70" t="s">
        <v>13</v>
      </c>
      <c r="H4" s="71" t="s">
        <v>14</v>
      </c>
      <c r="I4" s="72" t="s">
        <v>15</v>
      </c>
      <c r="J4" s="70" t="s">
        <v>16</v>
      </c>
      <c r="K4" s="71" t="s">
        <v>37</v>
      </c>
      <c r="L4" s="73" t="s">
        <v>17</v>
      </c>
      <c r="M4" s="70" t="s">
        <v>18</v>
      </c>
      <c r="N4" s="72" t="s">
        <v>19</v>
      </c>
      <c r="O4" s="72" t="s">
        <v>20</v>
      </c>
      <c r="P4" s="74" t="s">
        <v>36</v>
      </c>
    </row>
    <row r="5" spans="1:33" ht="15">
      <c r="A5" s="75">
        <v>2022</v>
      </c>
      <c r="B5" s="43" t="s">
        <v>21</v>
      </c>
      <c r="C5" s="50"/>
      <c r="D5" s="51"/>
      <c r="E5" s="50"/>
      <c r="F5" s="51"/>
      <c r="G5" s="50"/>
      <c r="H5" s="51"/>
      <c r="I5" s="50"/>
      <c r="J5" s="51"/>
      <c r="K5" s="50"/>
      <c r="L5" s="51"/>
      <c r="M5" s="50"/>
      <c r="N5" s="51"/>
      <c r="O5" s="50"/>
      <c r="P5" s="9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 spans="1:33" ht="15">
      <c r="A6" s="76">
        <v>2022</v>
      </c>
      <c r="B6" s="44" t="s">
        <v>22</v>
      </c>
      <c r="C6" s="48"/>
      <c r="D6" s="49"/>
      <c r="E6" s="48"/>
      <c r="F6" s="49"/>
      <c r="G6" s="48"/>
      <c r="H6" s="49"/>
      <c r="I6" s="48"/>
      <c r="J6" s="49"/>
      <c r="K6" s="48"/>
      <c r="L6" s="49"/>
      <c r="M6" s="48"/>
      <c r="N6" s="49"/>
      <c r="O6" s="48"/>
      <c r="P6" s="9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 spans="1:33" ht="15">
      <c r="A7" s="76">
        <v>2022</v>
      </c>
      <c r="B7" s="44" t="s">
        <v>23</v>
      </c>
      <c r="C7" s="48">
        <v>0</v>
      </c>
      <c r="D7" s="49">
        <v>800</v>
      </c>
      <c r="E7" s="48">
        <v>995</v>
      </c>
      <c r="F7" s="49">
        <v>0</v>
      </c>
      <c r="G7" s="48">
        <v>0</v>
      </c>
      <c r="H7" s="49">
        <v>0</v>
      </c>
      <c r="I7" s="48">
        <v>0</v>
      </c>
      <c r="J7" s="49">
        <v>0</v>
      </c>
      <c r="K7" s="48">
        <v>0</v>
      </c>
      <c r="L7" s="49">
        <v>0</v>
      </c>
      <c r="M7" s="48">
        <v>1795</v>
      </c>
      <c r="N7" s="49">
        <v>0</v>
      </c>
      <c r="O7" s="48">
        <v>-1860.92</v>
      </c>
      <c r="P7" s="92">
        <v>-1860.92</v>
      </c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 spans="1:33" ht="15">
      <c r="A8" s="76">
        <v>2022</v>
      </c>
      <c r="B8" s="44" t="s">
        <v>24</v>
      </c>
      <c r="C8" s="48">
        <v>0</v>
      </c>
      <c r="D8" s="49">
        <v>550</v>
      </c>
      <c r="E8" s="48">
        <v>16617</v>
      </c>
      <c r="F8" s="49">
        <v>0</v>
      </c>
      <c r="G8" s="48">
        <v>0</v>
      </c>
      <c r="H8" s="49">
        <v>0</v>
      </c>
      <c r="I8" s="48">
        <v>0</v>
      </c>
      <c r="J8" s="49">
        <v>0</v>
      </c>
      <c r="K8" s="48">
        <v>0</v>
      </c>
      <c r="L8" s="49">
        <v>0</v>
      </c>
      <c r="M8" s="48">
        <v>17167</v>
      </c>
      <c r="N8" s="49">
        <v>0</v>
      </c>
      <c r="O8" s="48">
        <v>0</v>
      </c>
      <c r="P8" s="92">
        <v>0</v>
      </c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 spans="1:33" ht="15">
      <c r="A9" s="76">
        <v>2022</v>
      </c>
      <c r="B9" s="44" t="s">
        <v>25</v>
      </c>
      <c r="C9" s="48">
        <v>0</v>
      </c>
      <c r="D9" s="49">
        <v>200</v>
      </c>
      <c r="E9" s="48">
        <v>24458</v>
      </c>
      <c r="F9" s="49">
        <v>0</v>
      </c>
      <c r="G9" s="48">
        <v>0</v>
      </c>
      <c r="H9" s="49">
        <v>0</v>
      </c>
      <c r="I9" s="48">
        <v>0</v>
      </c>
      <c r="J9" s="49">
        <v>0</v>
      </c>
      <c r="K9" s="48">
        <v>0</v>
      </c>
      <c r="L9" s="49">
        <v>0</v>
      </c>
      <c r="M9" s="48">
        <v>24658</v>
      </c>
      <c r="N9" s="49">
        <v>0</v>
      </c>
      <c r="O9" s="48">
        <v>0</v>
      </c>
      <c r="P9" s="92"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</row>
    <row r="10" spans="1:33" ht="15">
      <c r="A10" s="76">
        <v>2022</v>
      </c>
      <c r="B10" s="44" t="s">
        <v>26</v>
      </c>
      <c r="C10" s="48">
        <v>0</v>
      </c>
      <c r="D10" s="49">
        <v>850</v>
      </c>
      <c r="E10" s="48">
        <v>31360</v>
      </c>
      <c r="F10" s="49">
        <v>0</v>
      </c>
      <c r="G10" s="48">
        <v>0</v>
      </c>
      <c r="H10" s="49">
        <v>0</v>
      </c>
      <c r="I10" s="48">
        <v>0</v>
      </c>
      <c r="J10" s="49">
        <v>0</v>
      </c>
      <c r="K10" s="48">
        <v>0</v>
      </c>
      <c r="L10" s="49">
        <v>0</v>
      </c>
      <c r="M10" s="48">
        <v>32210</v>
      </c>
      <c r="N10" s="49">
        <v>0</v>
      </c>
      <c r="O10" s="48">
        <v>0</v>
      </c>
      <c r="P10" s="92">
        <v>0</v>
      </c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spans="1:33" ht="15">
      <c r="A11" s="76">
        <v>2022</v>
      </c>
      <c r="B11" s="44" t="s">
        <v>27</v>
      </c>
      <c r="C11" s="48">
        <v>7900</v>
      </c>
      <c r="D11" s="49">
        <v>303</v>
      </c>
      <c r="E11" s="48">
        <v>25906</v>
      </c>
      <c r="F11" s="49">
        <v>0</v>
      </c>
      <c r="G11" s="48">
        <v>0</v>
      </c>
      <c r="H11" s="49">
        <v>0</v>
      </c>
      <c r="I11" s="48">
        <v>0</v>
      </c>
      <c r="J11" s="49">
        <v>0</v>
      </c>
      <c r="K11" s="48">
        <v>0</v>
      </c>
      <c r="L11" s="49">
        <v>0</v>
      </c>
      <c r="M11" s="48">
        <v>34109</v>
      </c>
      <c r="N11" s="49">
        <v>0</v>
      </c>
      <c r="O11" s="48">
        <v>0</v>
      </c>
      <c r="P11" s="92">
        <v>0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 spans="1:33" ht="15">
      <c r="A12" s="76">
        <v>2022</v>
      </c>
      <c r="B12" s="44" t="s">
        <v>28</v>
      </c>
      <c r="C12" s="48">
        <v>8500</v>
      </c>
      <c r="D12" s="49">
        <v>346</v>
      </c>
      <c r="E12" s="48">
        <v>22384</v>
      </c>
      <c r="F12" s="49">
        <v>0</v>
      </c>
      <c r="G12" s="48">
        <v>0</v>
      </c>
      <c r="H12" s="49">
        <v>0</v>
      </c>
      <c r="I12" s="48">
        <v>0</v>
      </c>
      <c r="J12" s="49">
        <v>0</v>
      </c>
      <c r="K12" s="48">
        <v>0</v>
      </c>
      <c r="L12" s="49">
        <v>0</v>
      </c>
      <c r="M12" s="48">
        <v>31230</v>
      </c>
      <c r="N12" s="49">
        <v>0</v>
      </c>
      <c r="O12" s="48">
        <v>0</v>
      </c>
      <c r="P12" s="92">
        <v>0</v>
      </c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 spans="1:33" ht="15">
      <c r="A13" s="76">
        <v>2022</v>
      </c>
      <c r="B13" s="44" t="s">
        <v>29</v>
      </c>
      <c r="C13" s="48">
        <v>8500</v>
      </c>
      <c r="D13" s="49">
        <v>450</v>
      </c>
      <c r="E13" s="48">
        <v>27231</v>
      </c>
      <c r="F13" s="49">
        <v>0</v>
      </c>
      <c r="G13" s="48">
        <v>0</v>
      </c>
      <c r="H13" s="49">
        <v>0</v>
      </c>
      <c r="I13" s="48">
        <v>0</v>
      </c>
      <c r="J13" s="49">
        <v>0</v>
      </c>
      <c r="K13" s="48">
        <v>0</v>
      </c>
      <c r="L13" s="49">
        <v>0</v>
      </c>
      <c r="M13" s="48">
        <v>36181</v>
      </c>
      <c r="N13" s="49">
        <v>0</v>
      </c>
      <c r="O13" s="48">
        <v>0</v>
      </c>
      <c r="P13" s="92">
        <v>0</v>
      </c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 spans="1:33" ht="15">
      <c r="A14" s="76">
        <v>2022</v>
      </c>
      <c r="B14" s="44" t="s">
        <v>30</v>
      </c>
      <c r="C14" s="48">
        <v>8500</v>
      </c>
      <c r="D14" s="49">
        <v>330</v>
      </c>
      <c r="E14" s="48">
        <v>26925</v>
      </c>
      <c r="F14" s="49">
        <v>0</v>
      </c>
      <c r="G14" s="48">
        <v>0</v>
      </c>
      <c r="H14" s="49">
        <v>0</v>
      </c>
      <c r="I14" s="48">
        <v>0</v>
      </c>
      <c r="J14" s="49">
        <v>0</v>
      </c>
      <c r="K14" s="48">
        <v>0</v>
      </c>
      <c r="L14" s="49">
        <v>0</v>
      </c>
      <c r="M14" s="48">
        <v>35755</v>
      </c>
      <c r="N14" s="49">
        <v>0</v>
      </c>
      <c r="O14" s="48">
        <v>5000</v>
      </c>
      <c r="P14" s="92">
        <v>5000</v>
      </c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 spans="1:33" ht="15">
      <c r="A15" s="77">
        <v>2022</v>
      </c>
      <c r="B15" s="45" t="s">
        <v>31</v>
      </c>
      <c r="C15" s="48">
        <v>7500</v>
      </c>
      <c r="D15" s="49">
        <v>572</v>
      </c>
      <c r="E15" s="48">
        <v>28252</v>
      </c>
      <c r="F15" s="49">
        <v>0</v>
      </c>
      <c r="G15" s="48">
        <v>0</v>
      </c>
      <c r="H15" s="49">
        <v>0</v>
      </c>
      <c r="I15" s="48">
        <v>0</v>
      </c>
      <c r="J15" s="49">
        <v>0</v>
      </c>
      <c r="K15" s="48">
        <v>0</v>
      </c>
      <c r="L15" s="49">
        <v>0</v>
      </c>
      <c r="M15" s="48">
        <v>36324</v>
      </c>
      <c r="N15" s="49">
        <v>0</v>
      </c>
      <c r="O15" s="48">
        <v>21825.03</v>
      </c>
      <c r="P15" s="92">
        <v>21825.03</v>
      </c>
      <c r="R15" s="67"/>
    </row>
    <row r="16" spans="1:33" ht="15">
      <c r="A16" s="78">
        <v>2022</v>
      </c>
      <c r="B16" s="79" t="s">
        <v>32</v>
      </c>
      <c r="C16" s="80">
        <v>9000</v>
      </c>
      <c r="D16" s="81">
        <v>397</v>
      </c>
      <c r="E16" s="80">
        <v>30907</v>
      </c>
      <c r="F16" s="81">
        <v>0</v>
      </c>
      <c r="G16" s="80">
        <v>0</v>
      </c>
      <c r="H16" s="81">
        <v>0</v>
      </c>
      <c r="I16" s="80">
        <v>0</v>
      </c>
      <c r="J16" s="81">
        <v>0</v>
      </c>
      <c r="K16" s="82">
        <v>0</v>
      </c>
      <c r="L16" s="81">
        <v>0</v>
      </c>
      <c r="M16" s="83">
        <v>40304</v>
      </c>
      <c r="N16" s="81">
        <v>0</v>
      </c>
      <c r="O16" s="82">
        <v>20000</v>
      </c>
      <c r="P16" s="93">
        <v>20000</v>
      </c>
    </row>
    <row r="17" spans="1:33" ht="15">
      <c r="A17" s="84">
        <v>2023</v>
      </c>
      <c r="B17" s="43" t="s">
        <v>21</v>
      </c>
      <c r="C17" s="86">
        <v>9000</v>
      </c>
      <c r="D17" s="87">
        <v>60</v>
      </c>
      <c r="E17" s="86">
        <v>5392.71</v>
      </c>
      <c r="F17" s="87">
        <v>0</v>
      </c>
      <c r="G17" s="86">
        <v>1351.64</v>
      </c>
      <c r="H17" s="87">
        <v>0</v>
      </c>
      <c r="I17" s="86">
        <v>169</v>
      </c>
      <c r="J17" s="87">
        <v>525</v>
      </c>
      <c r="K17" s="88">
        <v>0</v>
      </c>
      <c r="L17" s="87">
        <v>0</v>
      </c>
      <c r="M17" s="89">
        <v>16498.349999999999</v>
      </c>
      <c r="N17" s="87">
        <v>0</v>
      </c>
      <c r="O17" s="88">
        <v>12017.7</v>
      </c>
      <c r="P17" s="94">
        <v>12017.7</v>
      </c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 spans="1:33" ht="15">
      <c r="A18" s="52">
        <v>2023</v>
      </c>
      <c r="B18" s="44" t="s">
        <v>22</v>
      </c>
      <c r="C18" s="61">
        <v>9000</v>
      </c>
      <c r="D18" s="64">
        <v>40</v>
      </c>
      <c r="E18" s="61">
        <v>8294.19</v>
      </c>
      <c r="F18" s="64">
        <v>0</v>
      </c>
      <c r="G18" s="61">
        <v>395</v>
      </c>
      <c r="H18" s="64">
        <v>0</v>
      </c>
      <c r="I18" s="61">
        <v>33</v>
      </c>
      <c r="J18" s="64">
        <v>500</v>
      </c>
      <c r="K18" s="65">
        <v>0</v>
      </c>
      <c r="L18" s="64">
        <v>0</v>
      </c>
      <c r="M18" s="48">
        <v>18262.189999999999</v>
      </c>
      <c r="N18" s="64">
        <v>0</v>
      </c>
      <c r="O18" s="65">
        <v>30000</v>
      </c>
      <c r="P18" s="92">
        <v>30000</v>
      </c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 spans="1:33" ht="15">
      <c r="A19" s="52">
        <v>2023</v>
      </c>
      <c r="B19" s="44" t="s">
        <v>23</v>
      </c>
      <c r="C19" s="61">
        <v>9000</v>
      </c>
      <c r="D19" s="64">
        <v>30</v>
      </c>
      <c r="E19" s="61">
        <v>20719.900000000001</v>
      </c>
      <c r="F19" s="64">
        <v>0</v>
      </c>
      <c r="G19" s="61">
        <v>1240.6400000000001</v>
      </c>
      <c r="H19" s="64">
        <v>0</v>
      </c>
      <c r="I19" s="61">
        <v>0</v>
      </c>
      <c r="J19" s="64">
        <v>0</v>
      </c>
      <c r="K19" s="65">
        <v>0</v>
      </c>
      <c r="L19" s="90">
        <v>0</v>
      </c>
      <c r="M19" s="48">
        <v>30990.54</v>
      </c>
      <c r="N19" s="64">
        <v>0</v>
      </c>
      <c r="O19" s="65">
        <v>5000</v>
      </c>
      <c r="P19" s="92">
        <v>5000</v>
      </c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 spans="1:33" ht="15">
      <c r="A20" s="52">
        <v>2023</v>
      </c>
      <c r="B20" s="44" t="s">
        <v>24</v>
      </c>
      <c r="C20" s="61">
        <v>9000</v>
      </c>
      <c r="D20" s="64">
        <v>6753</v>
      </c>
      <c r="E20" s="61">
        <v>19170.55</v>
      </c>
      <c r="F20" s="64">
        <v>500</v>
      </c>
      <c r="G20" s="61">
        <v>3629.92</v>
      </c>
      <c r="H20" s="64">
        <v>891</v>
      </c>
      <c r="I20" s="61">
        <v>0</v>
      </c>
      <c r="J20" s="64">
        <v>-200</v>
      </c>
      <c r="K20" s="65">
        <v>0</v>
      </c>
      <c r="L20" s="64">
        <v>0</v>
      </c>
      <c r="M20" s="48">
        <v>39744.47</v>
      </c>
      <c r="N20" s="64">
        <v>0</v>
      </c>
      <c r="O20" s="65">
        <v>15000</v>
      </c>
      <c r="P20" s="92">
        <v>15000</v>
      </c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 spans="1:33" ht="15">
      <c r="A21" s="52">
        <v>2023</v>
      </c>
      <c r="B21" s="44" t="s">
        <v>25</v>
      </c>
      <c r="C21" s="61">
        <v>0</v>
      </c>
      <c r="D21" s="64">
        <v>6923</v>
      </c>
      <c r="E21" s="61">
        <v>14569.12</v>
      </c>
      <c r="F21" s="64">
        <v>0</v>
      </c>
      <c r="G21" s="61">
        <v>359</v>
      </c>
      <c r="H21" s="64">
        <v>0</v>
      </c>
      <c r="I21" s="61">
        <v>132</v>
      </c>
      <c r="J21" s="64">
        <v>190</v>
      </c>
      <c r="K21" s="65">
        <v>0</v>
      </c>
      <c r="L21" s="64">
        <v>0</v>
      </c>
      <c r="M21" s="48">
        <v>22173.119999999999</v>
      </c>
      <c r="N21" s="64">
        <v>0</v>
      </c>
      <c r="O21" s="65">
        <v>0</v>
      </c>
      <c r="P21" s="92">
        <v>0</v>
      </c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 spans="1:33" ht="15">
      <c r="A22" s="52">
        <v>2023</v>
      </c>
      <c r="B22" s="44" t="s">
        <v>26</v>
      </c>
      <c r="C22" s="61">
        <v>9000</v>
      </c>
      <c r="D22" s="64">
        <v>265</v>
      </c>
      <c r="E22" s="61">
        <v>41676.550000000003</v>
      </c>
      <c r="F22" s="64">
        <v>500</v>
      </c>
      <c r="G22" s="61">
        <v>0</v>
      </c>
      <c r="H22" s="64">
        <v>0</v>
      </c>
      <c r="I22" s="61">
        <v>0</v>
      </c>
      <c r="J22" s="64">
        <v>787.54</v>
      </c>
      <c r="K22" s="65">
        <v>0</v>
      </c>
      <c r="L22" s="64">
        <v>0</v>
      </c>
      <c r="M22" s="48">
        <v>52229.09</v>
      </c>
      <c r="N22" s="64">
        <v>0</v>
      </c>
      <c r="O22" s="65">
        <v>20000</v>
      </c>
      <c r="P22" s="92">
        <v>20000</v>
      </c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 spans="1:33" ht="15">
      <c r="A23" s="52">
        <v>2023</v>
      </c>
      <c r="B23" s="44" t="s">
        <v>27</v>
      </c>
      <c r="C23" s="61">
        <v>10200</v>
      </c>
      <c r="D23" s="64">
        <v>6047</v>
      </c>
      <c r="E23" s="61">
        <v>-695</v>
      </c>
      <c r="F23" s="64">
        <v>0</v>
      </c>
      <c r="G23" s="61">
        <v>2790</v>
      </c>
      <c r="H23" s="64">
        <v>0</v>
      </c>
      <c r="I23" s="61">
        <v>0</v>
      </c>
      <c r="J23" s="64">
        <v>1399.62</v>
      </c>
      <c r="K23" s="65">
        <v>0</v>
      </c>
      <c r="L23" s="64">
        <v>0</v>
      </c>
      <c r="M23" s="48">
        <v>19741.62</v>
      </c>
      <c r="N23" s="64">
        <v>0</v>
      </c>
      <c r="O23" s="65">
        <v>20000</v>
      </c>
      <c r="P23" s="92">
        <v>20000</v>
      </c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 spans="1:33" ht="15">
      <c r="A24" s="52">
        <v>2023</v>
      </c>
      <c r="B24" s="44" t="s">
        <v>28</v>
      </c>
      <c r="C24" s="61">
        <v>9000</v>
      </c>
      <c r="D24" s="64">
        <v>6605</v>
      </c>
      <c r="E24" s="61">
        <v>9803.52</v>
      </c>
      <c r="F24" s="64">
        <v>0</v>
      </c>
      <c r="G24" s="61">
        <v>395</v>
      </c>
      <c r="H24" s="64">
        <v>0</v>
      </c>
      <c r="I24" s="61">
        <v>0</v>
      </c>
      <c r="J24" s="64">
        <v>1332</v>
      </c>
      <c r="K24" s="65">
        <v>0</v>
      </c>
      <c r="L24" s="64">
        <v>0</v>
      </c>
      <c r="M24" s="48">
        <v>27135.52</v>
      </c>
      <c r="N24" s="64">
        <v>0</v>
      </c>
      <c r="O24" s="65">
        <v>20000</v>
      </c>
      <c r="P24" s="92">
        <v>20000</v>
      </c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 spans="1:33" ht="15">
      <c r="A25" s="52">
        <v>2023</v>
      </c>
      <c r="B25" s="44" t="s">
        <v>29</v>
      </c>
      <c r="C25" s="61">
        <v>10200</v>
      </c>
      <c r="D25" s="64">
        <v>20</v>
      </c>
      <c r="E25" s="61">
        <v>16920.89</v>
      </c>
      <c r="F25" s="64">
        <v>0</v>
      </c>
      <c r="G25" s="61">
        <v>0</v>
      </c>
      <c r="H25" s="64">
        <v>0</v>
      </c>
      <c r="I25" s="61">
        <v>105</v>
      </c>
      <c r="J25" s="64">
        <v>-385</v>
      </c>
      <c r="K25" s="65">
        <v>0</v>
      </c>
      <c r="L25" s="64">
        <v>0</v>
      </c>
      <c r="M25" s="48">
        <v>26860.89</v>
      </c>
      <c r="N25" s="64">
        <v>0</v>
      </c>
      <c r="O25" s="65">
        <v>15000</v>
      </c>
      <c r="P25" s="92">
        <v>15000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 spans="1:33" ht="15">
      <c r="A26" s="52">
        <v>2023</v>
      </c>
      <c r="B26" s="44" t="s">
        <v>30</v>
      </c>
      <c r="C26" s="61">
        <v>1000</v>
      </c>
      <c r="D26" s="64">
        <v>15</v>
      </c>
      <c r="E26" s="61">
        <v>49400.86</v>
      </c>
      <c r="F26" s="64">
        <v>0</v>
      </c>
      <c r="G26" s="61">
        <v>955</v>
      </c>
      <c r="H26" s="64">
        <v>0</v>
      </c>
      <c r="I26" s="61">
        <v>0</v>
      </c>
      <c r="J26" s="64">
        <v>664</v>
      </c>
      <c r="K26" s="65">
        <v>0</v>
      </c>
      <c r="L26" s="64">
        <v>0</v>
      </c>
      <c r="M26" s="48">
        <v>52034.86</v>
      </c>
      <c r="N26" s="64">
        <v>0</v>
      </c>
      <c r="O26" s="65">
        <v>40000</v>
      </c>
      <c r="P26" s="92">
        <v>40000</v>
      </c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 spans="1:33" ht="15">
      <c r="A27" s="52">
        <v>2023</v>
      </c>
      <c r="B27" s="45" t="s">
        <v>31</v>
      </c>
      <c r="C27" s="61">
        <v>0</v>
      </c>
      <c r="D27" s="64">
        <v>303</v>
      </c>
      <c r="E27" s="61">
        <v>17454.78</v>
      </c>
      <c r="F27" s="64">
        <v>0</v>
      </c>
      <c r="G27" s="61">
        <v>395</v>
      </c>
      <c r="H27" s="64">
        <v>0</v>
      </c>
      <c r="I27" s="61">
        <v>2647</v>
      </c>
      <c r="J27" s="64">
        <v>0</v>
      </c>
      <c r="K27" s="65">
        <v>1837.55</v>
      </c>
      <c r="L27" s="64">
        <v>0</v>
      </c>
      <c r="M27" s="48">
        <v>22637.33</v>
      </c>
      <c r="N27" s="64">
        <v>0</v>
      </c>
      <c r="O27" s="65">
        <v>40000</v>
      </c>
      <c r="P27" s="92">
        <v>40000</v>
      </c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 spans="1:33" ht="15">
      <c r="A28" s="52">
        <v>2023</v>
      </c>
      <c r="B28" s="79" t="s">
        <v>32</v>
      </c>
      <c r="C28" s="61">
        <v>0</v>
      </c>
      <c r="D28" s="64">
        <v>0</v>
      </c>
      <c r="E28" s="61">
        <v>3614.07</v>
      </c>
      <c r="F28" s="64">
        <v>0</v>
      </c>
      <c r="G28" s="61">
        <v>0</v>
      </c>
      <c r="H28" s="64">
        <v>0</v>
      </c>
      <c r="I28" s="61">
        <v>263</v>
      </c>
      <c r="J28" s="64">
        <v>0</v>
      </c>
      <c r="K28" s="65">
        <v>5032.34</v>
      </c>
      <c r="L28" s="64">
        <v>0</v>
      </c>
      <c r="M28" s="48">
        <v>8909.41</v>
      </c>
      <c r="N28" s="64">
        <v>0</v>
      </c>
      <c r="O28" s="65">
        <v>40000</v>
      </c>
      <c r="P28" s="92">
        <v>40000</v>
      </c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 spans="1:33" ht="15">
      <c r="A29" s="84">
        <v>2024</v>
      </c>
      <c r="B29" s="43" t="s">
        <v>21</v>
      </c>
      <c r="C29" s="89">
        <v>0</v>
      </c>
      <c r="D29" s="91">
        <v>300</v>
      </c>
      <c r="E29" s="89">
        <v>174528.03</v>
      </c>
      <c r="F29" s="91">
        <v>1000</v>
      </c>
      <c r="G29" s="96">
        <v>1185</v>
      </c>
      <c r="H29" s="91">
        <v>0</v>
      </c>
      <c r="I29" s="89">
        <v>0</v>
      </c>
      <c r="J29" s="91">
        <v>2674</v>
      </c>
      <c r="K29" s="89">
        <v>150</v>
      </c>
      <c r="L29" s="91">
        <v>0</v>
      </c>
      <c r="M29" s="89">
        <v>179837.03</v>
      </c>
      <c r="N29" s="91">
        <v>0</v>
      </c>
      <c r="O29" s="89">
        <v>0</v>
      </c>
      <c r="P29" s="94">
        <v>0</v>
      </c>
    </row>
    <row r="30" spans="1:33" ht="15">
      <c r="A30" s="52">
        <v>2024</v>
      </c>
      <c r="B30" s="44" t="s">
        <v>22</v>
      </c>
      <c r="C30" s="48">
        <v>14000</v>
      </c>
      <c r="D30" s="49">
        <v>373</v>
      </c>
      <c r="E30" s="48">
        <v>152635.31</v>
      </c>
      <c r="F30" s="49">
        <v>0</v>
      </c>
      <c r="G30" s="48">
        <v>0</v>
      </c>
      <c r="H30" s="49">
        <v>0</v>
      </c>
      <c r="I30" s="48">
        <v>0</v>
      </c>
      <c r="J30" s="49">
        <v>0</v>
      </c>
      <c r="K30" s="48">
        <v>5016.83</v>
      </c>
      <c r="L30" s="49">
        <v>1600</v>
      </c>
      <c r="M30" s="48">
        <v>173625.14</v>
      </c>
      <c r="N30" s="49">
        <v>0</v>
      </c>
      <c r="O30" s="48">
        <v>38001</v>
      </c>
      <c r="P30" s="92">
        <v>38001</v>
      </c>
    </row>
    <row r="31" spans="1:33" ht="15">
      <c r="A31" s="52">
        <v>2024</v>
      </c>
      <c r="B31" s="44" t="s">
        <v>23</v>
      </c>
      <c r="C31" s="48">
        <v>10700</v>
      </c>
      <c r="D31" s="49">
        <v>439</v>
      </c>
      <c r="E31" s="48">
        <v>13868.39</v>
      </c>
      <c r="F31" s="49">
        <v>1000</v>
      </c>
      <c r="G31" s="48">
        <v>815</v>
      </c>
      <c r="H31" s="49">
        <v>0</v>
      </c>
      <c r="I31" s="48">
        <v>0</v>
      </c>
      <c r="J31" s="49">
        <v>0</v>
      </c>
      <c r="K31" s="48">
        <v>-554.45000000000005</v>
      </c>
      <c r="L31" s="49">
        <v>0</v>
      </c>
      <c r="M31" s="48">
        <v>26267.94</v>
      </c>
      <c r="N31" s="49">
        <v>0</v>
      </c>
      <c r="O31" s="48">
        <v>34000</v>
      </c>
      <c r="P31" s="92">
        <v>34000</v>
      </c>
    </row>
    <row r="32" spans="1:33" ht="15">
      <c r="A32" s="52">
        <v>2024</v>
      </c>
      <c r="B32" s="44" t="s">
        <v>24</v>
      </c>
      <c r="C32" s="48">
        <v>11000</v>
      </c>
      <c r="D32" s="49">
        <v>7748.25</v>
      </c>
      <c r="E32" s="48">
        <v>12636.32</v>
      </c>
      <c r="F32" s="49">
        <v>1000</v>
      </c>
      <c r="G32" s="48">
        <v>395</v>
      </c>
      <c r="H32" s="49">
        <v>2455</v>
      </c>
      <c r="I32" s="48">
        <v>0</v>
      </c>
      <c r="J32" s="49">
        <v>0</v>
      </c>
      <c r="K32" s="48">
        <v>495.96</v>
      </c>
      <c r="L32" s="49">
        <v>0</v>
      </c>
      <c r="M32" s="48">
        <v>35730.53</v>
      </c>
      <c r="N32" s="49">
        <v>0</v>
      </c>
      <c r="O32" s="48">
        <v>14000</v>
      </c>
      <c r="P32" s="92">
        <v>14000</v>
      </c>
    </row>
    <row r="33" spans="1:16" ht="15">
      <c r="A33" s="52">
        <v>2024</v>
      </c>
      <c r="B33" s="44" t="s">
        <v>25</v>
      </c>
      <c r="C33" s="48">
        <v>6234</v>
      </c>
      <c r="D33" s="49">
        <v>529</v>
      </c>
      <c r="E33" s="48">
        <v>135544.74</v>
      </c>
      <c r="F33" s="49">
        <v>0</v>
      </c>
      <c r="G33" s="48">
        <v>1559</v>
      </c>
      <c r="H33" s="49">
        <v>12387</v>
      </c>
      <c r="I33" s="48">
        <v>130</v>
      </c>
      <c r="J33" s="49">
        <v>0</v>
      </c>
      <c r="K33" s="48">
        <v>-1222</v>
      </c>
      <c r="L33" s="49">
        <v>0</v>
      </c>
      <c r="M33" s="48">
        <v>155161.74</v>
      </c>
      <c r="N33" s="49">
        <v>0</v>
      </c>
      <c r="O33" s="65">
        <v>34000</v>
      </c>
      <c r="P33" s="92">
        <v>34000</v>
      </c>
    </row>
    <row r="34" spans="1:16" ht="15">
      <c r="A34" s="52">
        <v>2024</v>
      </c>
      <c r="B34" s="44" t="s">
        <v>26</v>
      </c>
      <c r="C34" s="48">
        <v>0</v>
      </c>
      <c r="D34" s="49">
        <v>150</v>
      </c>
      <c r="E34" s="48">
        <v>35227.199999999997</v>
      </c>
      <c r="F34" s="49">
        <v>0</v>
      </c>
      <c r="G34" s="48">
        <v>1000</v>
      </c>
      <c r="H34" s="49">
        <v>0</v>
      </c>
      <c r="I34" s="48">
        <v>46</v>
      </c>
      <c r="J34" s="49">
        <v>0</v>
      </c>
      <c r="K34" s="48">
        <v>0</v>
      </c>
      <c r="L34" s="49">
        <v>0</v>
      </c>
      <c r="M34" s="48">
        <v>36423.199999999997</v>
      </c>
      <c r="N34" s="49">
        <v>0</v>
      </c>
      <c r="O34" s="48">
        <v>14000</v>
      </c>
      <c r="P34" s="92">
        <v>14000</v>
      </c>
    </row>
    <row r="35" spans="1:16" ht="15">
      <c r="A35" s="52">
        <v>2024</v>
      </c>
      <c r="B35" s="44" t="s">
        <v>27</v>
      </c>
      <c r="C35" s="61">
        <v>0</v>
      </c>
      <c r="D35" s="64">
        <v>9388</v>
      </c>
      <c r="E35" s="61">
        <v>53698.96</v>
      </c>
      <c r="F35" s="64">
        <v>0</v>
      </c>
      <c r="G35" s="61">
        <v>1170.82</v>
      </c>
      <c r="H35" s="64">
        <v>1601</v>
      </c>
      <c r="I35" s="61">
        <v>251</v>
      </c>
      <c r="J35" s="64">
        <v>0</v>
      </c>
      <c r="K35" s="65">
        <v>0</v>
      </c>
      <c r="L35" s="64">
        <v>0</v>
      </c>
      <c r="M35" s="48">
        <v>66109.78</v>
      </c>
      <c r="N35" s="49">
        <v>0</v>
      </c>
      <c r="O35" s="65">
        <v>0</v>
      </c>
      <c r="P35" s="92">
        <v>0</v>
      </c>
    </row>
    <row r="36" spans="1:16" ht="15">
      <c r="A36" s="52">
        <v>2024</v>
      </c>
      <c r="B36" s="44" t="s">
        <v>28</v>
      </c>
      <c r="C36" s="61">
        <v>10000</v>
      </c>
      <c r="D36" s="64">
        <v>627</v>
      </c>
      <c r="E36" s="61">
        <v>19571.919999999998</v>
      </c>
      <c r="F36" s="64">
        <v>1503.75</v>
      </c>
      <c r="G36" s="61">
        <v>1375</v>
      </c>
      <c r="H36" s="64">
        <v>1602</v>
      </c>
      <c r="I36" s="61">
        <v>0</v>
      </c>
      <c r="J36" s="64">
        <v>0</v>
      </c>
      <c r="K36" s="65">
        <v>1373.96</v>
      </c>
      <c r="L36" s="64">
        <v>0</v>
      </c>
      <c r="M36" s="48">
        <v>36053.629999999997</v>
      </c>
      <c r="N36" s="49">
        <v>0</v>
      </c>
      <c r="O36" s="65">
        <v>0</v>
      </c>
      <c r="P36" s="92">
        <v>0</v>
      </c>
    </row>
    <row r="37" spans="1:16" ht="15">
      <c r="A37" s="52">
        <v>2024</v>
      </c>
      <c r="B37" s="44" t="s">
        <v>29</v>
      </c>
      <c r="C37" s="61">
        <v>9000</v>
      </c>
      <c r="D37" s="64">
        <v>513</v>
      </c>
      <c r="E37" s="61">
        <v>119374.09</v>
      </c>
      <c r="F37" s="64">
        <v>236</v>
      </c>
      <c r="G37" s="61">
        <v>0</v>
      </c>
      <c r="H37" s="64">
        <v>1600</v>
      </c>
      <c r="I37" s="61">
        <v>108</v>
      </c>
      <c r="J37" s="64">
        <v>0</v>
      </c>
      <c r="K37" s="65">
        <v>-1320</v>
      </c>
      <c r="L37" s="64">
        <v>1349</v>
      </c>
      <c r="M37" s="48">
        <v>130860.09</v>
      </c>
      <c r="N37" s="49">
        <v>0</v>
      </c>
      <c r="O37" s="65">
        <v>0</v>
      </c>
      <c r="P37" s="92">
        <v>0</v>
      </c>
    </row>
    <row r="38" spans="1:16" ht="15">
      <c r="A38" s="52">
        <v>2024</v>
      </c>
      <c r="B38" s="44" t="s">
        <v>30</v>
      </c>
      <c r="C38" s="61">
        <v>20000</v>
      </c>
      <c r="D38" s="64">
        <v>4882.68</v>
      </c>
      <c r="E38" s="61">
        <v>18232.66</v>
      </c>
      <c r="F38" s="64">
        <v>551.96</v>
      </c>
      <c r="G38" s="61">
        <v>-1300</v>
      </c>
      <c r="H38" s="64">
        <v>3202</v>
      </c>
      <c r="I38" s="61">
        <v>43</v>
      </c>
      <c r="J38" s="64">
        <v>0</v>
      </c>
      <c r="K38" s="65">
        <v>0</v>
      </c>
      <c r="L38" s="64">
        <v>0</v>
      </c>
      <c r="M38" s="48">
        <v>45612.3</v>
      </c>
      <c r="N38" s="49">
        <v>0</v>
      </c>
      <c r="O38" s="65">
        <v>55000</v>
      </c>
      <c r="P38" s="92">
        <v>55000</v>
      </c>
    </row>
    <row r="39" spans="1:16" ht="15">
      <c r="A39" s="52">
        <v>2024</v>
      </c>
      <c r="B39" s="45" t="s">
        <v>31</v>
      </c>
      <c r="C39" s="61">
        <v>0</v>
      </c>
      <c r="D39" s="64">
        <v>235</v>
      </c>
      <c r="E39" s="61">
        <v>-7974.3</v>
      </c>
      <c r="F39" s="64">
        <v>308</v>
      </c>
      <c r="G39" s="61">
        <v>1859</v>
      </c>
      <c r="H39" s="64">
        <v>0</v>
      </c>
      <c r="I39" s="61">
        <v>132</v>
      </c>
      <c r="J39" s="64">
        <v>0</v>
      </c>
      <c r="K39" s="65">
        <v>0</v>
      </c>
      <c r="L39" s="64">
        <v>571.76</v>
      </c>
      <c r="M39" s="48">
        <v>-4868.54</v>
      </c>
      <c r="N39" s="49">
        <v>0</v>
      </c>
      <c r="O39" s="65">
        <v>45000</v>
      </c>
      <c r="P39" s="92">
        <v>45000</v>
      </c>
    </row>
    <row r="40" spans="1:16" ht="15">
      <c r="A40" s="52">
        <v>2024</v>
      </c>
      <c r="B40" s="79" t="s">
        <v>32</v>
      </c>
      <c r="C40" s="61">
        <v>3600</v>
      </c>
      <c r="D40" s="64">
        <v>3607.33</v>
      </c>
      <c r="E40" s="61">
        <v>46755.55</v>
      </c>
      <c r="F40" s="64">
        <v>0</v>
      </c>
      <c r="G40" s="61">
        <v>0</v>
      </c>
      <c r="H40" s="64">
        <v>3202</v>
      </c>
      <c r="I40" s="61">
        <v>35</v>
      </c>
      <c r="J40" s="64">
        <v>0</v>
      </c>
      <c r="K40" s="65">
        <v>0</v>
      </c>
      <c r="L40" s="64">
        <v>105</v>
      </c>
      <c r="M40" s="48">
        <v>57304.88</v>
      </c>
      <c r="N40" s="49">
        <v>0</v>
      </c>
      <c r="O40" s="65">
        <v>0</v>
      </c>
      <c r="P40" s="92">
        <v>0</v>
      </c>
    </row>
    <row r="41" spans="1:16" ht="15">
      <c r="A41" s="84">
        <v>2025</v>
      </c>
      <c r="B41" s="85" t="s">
        <v>21</v>
      </c>
      <c r="C41" s="89">
        <v>0</v>
      </c>
      <c r="D41" s="91">
        <v>7926</v>
      </c>
      <c r="E41" s="89">
        <v>29524.29</v>
      </c>
      <c r="F41" s="91">
        <v>0</v>
      </c>
      <c r="G41" s="89">
        <v>-600</v>
      </c>
      <c r="H41" s="91">
        <v>0</v>
      </c>
      <c r="I41" s="89">
        <v>0</v>
      </c>
      <c r="J41" s="91">
        <v>0</v>
      </c>
      <c r="K41" s="89">
        <v>0</v>
      </c>
      <c r="L41" s="91">
        <v>0</v>
      </c>
      <c r="M41" s="89">
        <f>SUM(C41:L41)</f>
        <v>36850.29</v>
      </c>
      <c r="N41" s="91">
        <v>25000</v>
      </c>
      <c r="O41" s="89">
        <v>41200</v>
      </c>
      <c r="P41" s="94">
        <v>66200</v>
      </c>
    </row>
    <row r="42" spans="1:16">
      <c r="A42" s="52">
        <v>2025</v>
      </c>
      <c r="B42" s="54" t="s">
        <v>22</v>
      </c>
      <c r="C42" s="48">
        <v>16000</v>
      </c>
      <c r="D42" s="49">
        <v>722</v>
      </c>
      <c r="E42" s="48">
        <v>6648.12</v>
      </c>
      <c r="F42" s="49">
        <v>2042</v>
      </c>
      <c r="G42" s="48">
        <v>1919</v>
      </c>
      <c r="H42" s="49">
        <v>1601</v>
      </c>
      <c r="I42" s="48">
        <v>0</v>
      </c>
      <c r="J42" s="49">
        <v>0</v>
      </c>
      <c r="K42" s="48">
        <v>0</v>
      </c>
      <c r="L42" s="49">
        <v>0</v>
      </c>
      <c r="M42" s="48">
        <f t="shared" ref="M42:M52" si="0">SUM(C42:L42)</f>
        <v>28932.12</v>
      </c>
      <c r="N42" s="49">
        <v>0</v>
      </c>
      <c r="O42" s="48">
        <v>33000</v>
      </c>
      <c r="P42" s="92">
        <v>33000</v>
      </c>
    </row>
    <row r="43" spans="1:16">
      <c r="A43" s="52">
        <v>2025</v>
      </c>
      <c r="B43" s="54" t="s">
        <v>23</v>
      </c>
      <c r="C43" s="48">
        <v>16000</v>
      </c>
      <c r="D43" s="49">
        <v>295</v>
      </c>
      <c r="E43" s="48">
        <v>17268.71</v>
      </c>
      <c r="F43" s="49">
        <v>885</v>
      </c>
      <c r="G43" s="48">
        <v>119</v>
      </c>
      <c r="H43" s="49">
        <v>1601</v>
      </c>
      <c r="I43" s="48">
        <v>0</v>
      </c>
      <c r="J43" s="49">
        <v>0</v>
      </c>
      <c r="K43" s="48">
        <v>0</v>
      </c>
      <c r="L43" s="49">
        <v>0</v>
      </c>
      <c r="M43" s="48">
        <f t="shared" si="0"/>
        <v>36168.71</v>
      </c>
      <c r="N43" s="49">
        <v>0</v>
      </c>
      <c r="O43" s="48">
        <v>27600</v>
      </c>
      <c r="P43" s="92">
        <v>27600</v>
      </c>
    </row>
    <row r="44" spans="1:16">
      <c r="A44" s="52">
        <v>2025</v>
      </c>
      <c r="B44" s="54" t="s">
        <v>24</v>
      </c>
      <c r="C44" s="48">
        <v>16000</v>
      </c>
      <c r="D44" s="49">
        <v>444</v>
      </c>
      <c r="E44" s="48">
        <v>6311.21</v>
      </c>
      <c r="F44" s="49">
        <v>1615</v>
      </c>
      <c r="G44" s="48">
        <v>119</v>
      </c>
      <c r="H44" s="49">
        <v>2450</v>
      </c>
      <c r="I44" s="48">
        <v>6880</v>
      </c>
      <c r="J44" s="49">
        <v>0</v>
      </c>
      <c r="K44" s="48">
        <v>0</v>
      </c>
      <c r="L44" s="49">
        <v>0</v>
      </c>
      <c r="M44" s="48">
        <f t="shared" si="0"/>
        <v>33819.21</v>
      </c>
      <c r="N44" s="49">
        <v>0</v>
      </c>
      <c r="O44" s="48">
        <v>-4000</v>
      </c>
      <c r="P44" s="92">
        <v>-4000</v>
      </c>
    </row>
    <row r="45" spans="1:16">
      <c r="A45" s="52">
        <v>2025</v>
      </c>
      <c r="B45" s="54" t="s">
        <v>25</v>
      </c>
      <c r="C45" s="48">
        <v>16000</v>
      </c>
      <c r="D45" s="49">
        <v>2354</v>
      </c>
      <c r="E45" s="48">
        <v>13717.59</v>
      </c>
      <c r="F45" s="49">
        <v>1375</v>
      </c>
      <c r="G45" s="48">
        <v>1919</v>
      </c>
      <c r="H45" s="49">
        <v>30603</v>
      </c>
      <c r="I45" s="48">
        <v>206329</v>
      </c>
      <c r="J45" s="49">
        <v>0</v>
      </c>
      <c r="K45" s="48">
        <v>0</v>
      </c>
      <c r="L45" s="49">
        <v>0</v>
      </c>
      <c r="M45" s="48">
        <f t="shared" si="0"/>
        <v>272297.58999999997</v>
      </c>
      <c r="N45" s="49">
        <v>0</v>
      </c>
      <c r="O45" s="65">
        <v>-130000</v>
      </c>
      <c r="P45" s="92">
        <v>-130000</v>
      </c>
    </row>
    <row r="46" spans="1:16">
      <c r="A46" s="52">
        <v>2025</v>
      </c>
      <c r="B46" s="54" t="s">
        <v>26</v>
      </c>
      <c r="C46" s="48">
        <v>16000</v>
      </c>
      <c r="D46" s="49">
        <v>1614.9</v>
      </c>
      <c r="E46" s="48">
        <v>3885</v>
      </c>
      <c r="F46" s="49">
        <v>470</v>
      </c>
      <c r="G46" s="48">
        <v>119</v>
      </c>
      <c r="H46" s="49">
        <v>0</v>
      </c>
      <c r="I46" s="48">
        <v>19010</v>
      </c>
      <c r="J46" s="49">
        <v>0</v>
      </c>
      <c r="K46" s="48">
        <v>0</v>
      </c>
      <c r="L46" s="49">
        <v>0</v>
      </c>
      <c r="M46" s="48">
        <f t="shared" si="0"/>
        <v>41098.9</v>
      </c>
      <c r="N46" s="49">
        <v>0</v>
      </c>
      <c r="O46" s="48">
        <v>35000</v>
      </c>
      <c r="P46" s="92">
        <v>35000</v>
      </c>
    </row>
    <row r="47" spans="1:16">
      <c r="A47" s="52">
        <v>2025</v>
      </c>
      <c r="B47" s="54" t="s">
        <v>27</v>
      </c>
      <c r="C47" s="61">
        <v>16000</v>
      </c>
      <c r="D47" s="64">
        <v>843</v>
      </c>
      <c r="E47" s="61">
        <v>13325.66</v>
      </c>
      <c r="F47" s="64">
        <v>1858</v>
      </c>
      <c r="G47" s="61">
        <v>119</v>
      </c>
      <c r="H47" s="64">
        <v>0</v>
      </c>
      <c r="I47" s="61">
        <v>1212</v>
      </c>
      <c r="J47" s="64">
        <v>0</v>
      </c>
      <c r="K47" s="65">
        <v>0</v>
      </c>
      <c r="L47" s="64">
        <v>0</v>
      </c>
      <c r="M47" s="48">
        <f t="shared" si="0"/>
        <v>33357.660000000003</v>
      </c>
      <c r="N47" s="64">
        <v>0</v>
      </c>
      <c r="O47" s="65">
        <v>60000</v>
      </c>
      <c r="P47" s="92">
        <v>60000</v>
      </c>
    </row>
    <row r="48" spans="1:16">
      <c r="A48" s="52">
        <v>2025</v>
      </c>
      <c r="B48" s="54" t="s">
        <v>28</v>
      </c>
      <c r="C48" s="61">
        <v>16000</v>
      </c>
      <c r="D48" s="64">
        <v>1220</v>
      </c>
      <c r="E48" s="61">
        <v>9174.1200000000008</v>
      </c>
      <c r="F48" s="64">
        <v>1555</v>
      </c>
      <c r="G48" s="61">
        <v>1919</v>
      </c>
      <c r="H48" s="64">
        <v>0</v>
      </c>
      <c r="I48" s="61">
        <v>2701</v>
      </c>
      <c r="J48" s="64">
        <v>0</v>
      </c>
      <c r="K48" s="65">
        <v>0</v>
      </c>
      <c r="L48" s="64">
        <v>0</v>
      </c>
      <c r="M48" s="48">
        <f t="shared" si="0"/>
        <v>32569.120000000003</v>
      </c>
      <c r="N48" s="64">
        <v>10000</v>
      </c>
      <c r="O48" s="65">
        <v>47000</v>
      </c>
      <c r="P48" s="92">
        <v>57000</v>
      </c>
    </row>
    <row r="49" spans="1:16">
      <c r="A49" s="52">
        <v>2025</v>
      </c>
      <c r="B49" s="54" t="s">
        <v>29</v>
      </c>
      <c r="C49" s="61">
        <v>16000</v>
      </c>
      <c r="D49" s="64">
        <v>500</v>
      </c>
      <c r="E49" s="61">
        <v>113388.8</v>
      </c>
      <c r="F49" s="64">
        <v>1485</v>
      </c>
      <c r="G49" s="61">
        <v>119</v>
      </c>
      <c r="H49" s="64">
        <v>0</v>
      </c>
      <c r="I49" s="61">
        <v>0</v>
      </c>
      <c r="J49" s="64">
        <v>0</v>
      </c>
      <c r="K49" s="65">
        <v>0</v>
      </c>
      <c r="L49" s="64">
        <v>0</v>
      </c>
      <c r="M49" s="48">
        <f t="shared" si="0"/>
        <v>131492.79999999999</v>
      </c>
      <c r="N49" s="64">
        <v>0</v>
      </c>
      <c r="O49" s="65">
        <v>-2000</v>
      </c>
      <c r="P49" s="92">
        <v>-2000</v>
      </c>
    </row>
    <row r="50" spans="1:16">
      <c r="A50" s="52">
        <v>2025</v>
      </c>
      <c r="B50" s="54" t="s">
        <v>30</v>
      </c>
      <c r="C50" s="61">
        <v>16000</v>
      </c>
      <c r="D50" s="64">
        <v>5929</v>
      </c>
      <c r="E50" s="61">
        <v>34971.71</v>
      </c>
      <c r="F50" s="64">
        <v>759</v>
      </c>
      <c r="G50" s="61">
        <v>119</v>
      </c>
      <c r="H50" s="64">
        <v>0</v>
      </c>
      <c r="I50" s="61">
        <v>6016.7</v>
      </c>
      <c r="J50" s="64">
        <v>0</v>
      </c>
      <c r="K50" s="65">
        <v>4187.8</v>
      </c>
      <c r="L50" s="64">
        <v>0</v>
      </c>
      <c r="M50" s="48">
        <f t="shared" si="0"/>
        <v>67983.209999999992</v>
      </c>
      <c r="N50" s="64">
        <v>10000</v>
      </c>
      <c r="O50" s="65">
        <v>-40000</v>
      </c>
      <c r="P50" s="92">
        <v>-30000</v>
      </c>
    </row>
    <row r="51" spans="1:16">
      <c r="A51" s="52">
        <v>2025</v>
      </c>
      <c r="B51" s="54" t="s">
        <v>31</v>
      </c>
      <c r="C51" s="61">
        <v>16000</v>
      </c>
      <c r="D51" s="64">
        <v>580</v>
      </c>
      <c r="E51" s="61">
        <v>45886.49</v>
      </c>
      <c r="F51" s="64">
        <v>1580</v>
      </c>
      <c r="G51" s="61">
        <v>1919</v>
      </c>
      <c r="H51" s="64">
        <v>0</v>
      </c>
      <c r="I51" s="61">
        <v>7121</v>
      </c>
      <c r="J51" s="64">
        <v>0</v>
      </c>
      <c r="K51" s="65">
        <v>0</v>
      </c>
      <c r="L51" s="64">
        <v>0</v>
      </c>
      <c r="M51" s="48">
        <f t="shared" si="0"/>
        <v>73086.489999999991</v>
      </c>
      <c r="N51" s="64">
        <v>10000</v>
      </c>
      <c r="O51" s="65">
        <v>-13000</v>
      </c>
      <c r="P51" s="92">
        <v>-3000</v>
      </c>
    </row>
    <row r="52" spans="1:16" ht="15" thickBot="1">
      <c r="A52" s="78">
        <v>2025</v>
      </c>
      <c r="B52" s="79" t="s">
        <v>32</v>
      </c>
      <c r="C52" s="80">
        <v>11000</v>
      </c>
      <c r="D52" s="81">
        <v>409</v>
      </c>
      <c r="E52" s="80">
        <v>29879.13</v>
      </c>
      <c r="F52" s="81">
        <v>978.86</v>
      </c>
      <c r="G52" s="80">
        <v>119</v>
      </c>
      <c r="H52" s="81">
        <v>0</v>
      </c>
      <c r="I52" s="80">
        <v>0</v>
      </c>
      <c r="J52" s="81">
        <v>0</v>
      </c>
      <c r="K52" s="82">
        <v>11665</v>
      </c>
      <c r="L52" s="81">
        <v>0</v>
      </c>
      <c r="M52" s="83">
        <f t="shared" si="0"/>
        <v>54050.990000000005</v>
      </c>
      <c r="N52" s="81">
        <v>20000</v>
      </c>
      <c r="O52" s="82">
        <v>0</v>
      </c>
      <c r="P52" s="93">
        <v>20000</v>
      </c>
    </row>
    <row r="53" spans="1:16">
      <c r="A53" s="52">
        <v>2026</v>
      </c>
      <c r="B53" s="54" t="s">
        <v>21</v>
      </c>
      <c r="C53" s="48">
        <v>0</v>
      </c>
      <c r="D53" s="49">
        <v>14.25</v>
      </c>
      <c r="E53" s="48">
        <v>16919.21</v>
      </c>
      <c r="F53" s="49">
        <v>0</v>
      </c>
      <c r="G53" s="48">
        <v>119</v>
      </c>
      <c r="H53" s="49">
        <v>0</v>
      </c>
      <c r="I53" s="48">
        <v>487.55</v>
      </c>
      <c r="J53" s="49">
        <v>0</v>
      </c>
      <c r="K53" s="48">
        <v>0</v>
      </c>
      <c r="L53" s="49">
        <v>0</v>
      </c>
      <c r="M53" s="48">
        <f t="shared" ref="M42:M59" si="1">SUM(C53:L53)</f>
        <v>17540.009999999998</v>
      </c>
      <c r="N53" s="49">
        <v>10000</v>
      </c>
      <c r="O53" s="48">
        <v>100000</v>
      </c>
      <c r="P53" s="92">
        <v>110000</v>
      </c>
    </row>
    <row r="54" spans="1:16">
      <c r="A54" s="52">
        <v>2026</v>
      </c>
      <c r="B54" s="54" t="s">
        <v>22</v>
      </c>
      <c r="C54" s="48">
        <v>0</v>
      </c>
      <c r="D54" s="49">
        <v>234.25</v>
      </c>
      <c r="E54" s="48">
        <v>15188.65</v>
      </c>
      <c r="F54" s="49">
        <v>0</v>
      </c>
      <c r="G54" s="48">
        <v>119</v>
      </c>
      <c r="H54" s="49">
        <v>0</v>
      </c>
      <c r="I54" s="48">
        <v>0</v>
      </c>
      <c r="J54" s="49">
        <v>0</v>
      </c>
      <c r="K54" s="48">
        <v>0</v>
      </c>
      <c r="L54" s="49">
        <v>0</v>
      </c>
      <c r="M54" s="48">
        <f t="shared" si="1"/>
        <v>15541.9</v>
      </c>
      <c r="N54" s="49">
        <v>10000</v>
      </c>
      <c r="O54" s="48">
        <v>30000</v>
      </c>
      <c r="P54" s="92">
        <v>40000</v>
      </c>
    </row>
    <row r="55" spans="1:16">
      <c r="A55" s="52">
        <v>2026</v>
      </c>
      <c r="B55" s="54" t="s">
        <v>23</v>
      </c>
      <c r="C55" s="48">
        <v>10000</v>
      </c>
      <c r="D55" s="49">
        <v>8535.4</v>
      </c>
      <c r="E55" s="48">
        <v>36098.480000000003</v>
      </c>
      <c r="F55" s="49">
        <v>960</v>
      </c>
      <c r="G55" s="48">
        <v>-1081</v>
      </c>
      <c r="H55" s="49">
        <v>0</v>
      </c>
      <c r="I55" s="48">
        <v>7996.63</v>
      </c>
      <c r="J55" s="49">
        <v>0</v>
      </c>
      <c r="K55" s="48">
        <v>0</v>
      </c>
      <c r="L55" s="49">
        <v>0</v>
      </c>
      <c r="M55" s="48">
        <f t="shared" si="1"/>
        <v>62509.51</v>
      </c>
      <c r="N55" s="49">
        <v>10000</v>
      </c>
      <c r="O55" s="48">
        <v>40000</v>
      </c>
      <c r="P55" s="92">
        <v>50000</v>
      </c>
    </row>
    <row r="56" spans="1:16">
      <c r="A56" s="52">
        <v>2026</v>
      </c>
      <c r="B56" s="54" t="s">
        <v>24</v>
      </c>
      <c r="C56" s="48">
        <v>16000</v>
      </c>
      <c r="D56" s="49">
        <v>765</v>
      </c>
      <c r="E56" s="48">
        <v>28353.87</v>
      </c>
      <c r="F56" s="49">
        <v>1298</v>
      </c>
      <c r="G56" s="48">
        <v>5466</v>
      </c>
      <c r="H56" s="49">
        <v>18271</v>
      </c>
      <c r="I56" s="48">
        <v>809.25</v>
      </c>
      <c r="J56" s="49">
        <v>170</v>
      </c>
      <c r="K56" s="48">
        <v>0</v>
      </c>
      <c r="L56" s="49">
        <v>0</v>
      </c>
      <c r="M56" s="48">
        <f t="shared" si="1"/>
        <v>71133.119999999995</v>
      </c>
      <c r="N56" s="49">
        <v>15000</v>
      </c>
      <c r="O56" s="48">
        <v>3000</v>
      </c>
      <c r="P56" s="92">
        <v>18000</v>
      </c>
    </row>
    <row r="57" spans="1:16">
      <c r="A57" s="52">
        <v>2026</v>
      </c>
      <c r="B57" s="54" t="s">
        <v>25</v>
      </c>
      <c r="C57" s="48">
        <v>16000</v>
      </c>
      <c r="D57" s="49">
        <v>419.1</v>
      </c>
      <c r="E57" s="48">
        <v>19759.59</v>
      </c>
      <c r="F57" s="49">
        <v>1255</v>
      </c>
      <c r="G57" s="48">
        <v>5299</v>
      </c>
      <c r="H57" s="49">
        <v>0</v>
      </c>
      <c r="I57" s="48">
        <v>4879</v>
      </c>
      <c r="J57" s="49">
        <v>1125</v>
      </c>
      <c r="K57" s="48">
        <v>3947</v>
      </c>
      <c r="L57" s="49">
        <v>0</v>
      </c>
      <c r="M57" s="48">
        <f t="shared" si="1"/>
        <v>52683.69</v>
      </c>
      <c r="N57" s="49">
        <v>15000</v>
      </c>
      <c r="O57" s="48">
        <v>37000</v>
      </c>
      <c r="P57" s="92">
        <v>52000</v>
      </c>
    </row>
    <row r="58" spans="1:16">
      <c r="A58" s="52">
        <v>2026</v>
      </c>
      <c r="B58" s="54" t="s">
        <v>26</v>
      </c>
      <c r="C58" s="48">
        <v>16000</v>
      </c>
      <c r="D58" s="49">
        <v>173</v>
      </c>
      <c r="E58" s="48">
        <v>-3200.2</v>
      </c>
      <c r="F58" s="49">
        <v>175</v>
      </c>
      <c r="G58" s="48">
        <v>0</v>
      </c>
      <c r="H58" s="49">
        <v>0</v>
      </c>
      <c r="I58" s="48">
        <v>687.36</v>
      </c>
      <c r="J58" s="49">
        <v>1022.82</v>
      </c>
      <c r="K58" s="48">
        <v>0</v>
      </c>
      <c r="L58" s="49">
        <v>0</v>
      </c>
      <c r="M58" s="48">
        <f t="shared" si="1"/>
        <v>14857.98</v>
      </c>
      <c r="N58" s="49">
        <v>0</v>
      </c>
      <c r="O58" s="48">
        <v>0</v>
      </c>
      <c r="P58" s="92">
        <v>0</v>
      </c>
    </row>
    <row r="59" spans="1:16">
      <c r="A59" s="52">
        <v>2026</v>
      </c>
      <c r="B59" s="54" t="s">
        <v>27</v>
      </c>
      <c r="C59" s="61"/>
      <c r="D59" s="64"/>
      <c r="E59" s="61"/>
      <c r="F59" s="64"/>
      <c r="G59" s="61"/>
      <c r="H59" s="64"/>
      <c r="I59" s="61"/>
      <c r="J59" s="64"/>
      <c r="K59" s="65"/>
      <c r="L59" s="64"/>
      <c r="M59" s="48"/>
      <c r="N59" s="64"/>
      <c r="O59" s="65"/>
      <c r="P59" s="92"/>
    </row>
    <row r="60" spans="1:16">
      <c r="A60" s="52">
        <v>2026</v>
      </c>
      <c r="B60" s="54" t="s">
        <v>28</v>
      </c>
      <c r="C60" s="61"/>
      <c r="D60" s="64"/>
      <c r="E60" s="61"/>
      <c r="F60" s="64"/>
      <c r="G60" s="61"/>
      <c r="H60" s="64"/>
      <c r="I60" s="61"/>
      <c r="J60" s="64"/>
      <c r="K60" s="65"/>
      <c r="L60" s="64"/>
      <c r="M60" s="48"/>
      <c r="N60" s="64"/>
      <c r="O60" s="65"/>
      <c r="P60" s="92"/>
    </row>
    <row r="61" spans="1:16">
      <c r="A61" s="52">
        <v>2026</v>
      </c>
      <c r="B61" s="54" t="s">
        <v>29</v>
      </c>
      <c r="C61" s="61"/>
      <c r="D61" s="64"/>
      <c r="E61" s="61"/>
      <c r="F61" s="64"/>
      <c r="G61" s="61"/>
      <c r="H61" s="64"/>
      <c r="I61" s="61"/>
      <c r="J61" s="64"/>
      <c r="K61" s="65"/>
      <c r="L61" s="64"/>
      <c r="M61" s="48"/>
      <c r="N61" s="64"/>
      <c r="O61" s="65"/>
      <c r="P61" s="92"/>
    </row>
    <row r="62" spans="1:16">
      <c r="A62" s="52">
        <v>2026</v>
      </c>
      <c r="B62" s="54" t="s">
        <v>30</v>
      </c>
      <c r="C62" s="61"/>
      <c r="D62" s="64"/>
      <c r="E62" s="61"/>
      <c r="F62" s="64"/>
      <c r="G62" s="61"/>
      <c r="H62" s="64"/>
      <c r="I62" s="61"/>
      <c r="J62" s="64"/>
      <c r="K62" s="65"/>
      <c r="L62" s="64"/>
      <c r="M62" s="48"/>
      <c r="N62" s="64"/>
      <c r="O62" s="65"/>
      <c r="P62" s="92"/>
    </row>
    <row r="63" spans="1:16">
      <c r="A63" s="52">
        <v>2026</v>
      </c>
      <c r="B63" s="54" t="s">
        <v>31</v>
      </c>
      <c r="C63" s="61"/>
      <c r="D63" s="64"/>
      <c r="E63" s="61"/>
      <c r="F63" s="64"/>
      <c r="G63" s="61"/>
      <c r="H63" s="64"/>
      <c r="I63" s="61"/>
      <c r="J63" s="64"/>
      <c r="K63" s="65"/>
      <c r="L63" s="64"/>
      <c r="M63" s="48"/>
      <c r="N63" s="64"/>
      <c r="O63" s="65"/>
      <c r="P63" s="92"/>
    </row>
    <row r="64" spans="1:16" ht="15" thickBot="1">
      <c r="A64" s="78">
        <v>2026</v>
      </c>
      <c r="B64" s="79" t="s">
        <v>32</v>
      </c>
      <c r="C64" s="80"/>
      <c r="D64" s="81"/>
      <c r="E64" s="80"/>
      <c r="F64" s="81"/>
      <c r="G64" s="80"/>
      <c r="H64" s="81"/>
      <c r="I64" s="80"/>
      <c r="J64" s="81"/>
      <c r="K64" s="82"/>
      <c r="L64" s="81"/>
      <c r="M64" s="83"/>
      <c r="N64" s="81"/>
      <c r="O64" s="82"/>
      <c r="P64" s="93"/>
    </row>
    <row r="65" spans="1:16">
      <c r="A65" s="84">
        <v>2027</v>
      </c>
      <c r="B65" s="85" t="s">
        <v>21</v>
      </c>
      <c r="C65" s="86"/>
      <c r="D65" s="87"/>
      <c r="E65" s="86"/>
      <c r="F65" s="87"/>
      <c r="G65" s="86"/>
      <c r="H65" s="87"/>
      <c r="I65" s="86"/>
      <c r="J65" s="87"/>
      <c r="K65" s="88"/>
      <c r="L65" s="87"/>
      <c r="M65" s="89"/>
      <c r="N65" s="87"/>
      <c r="O65" s="88"/>
      <c r="P65" s="94"/>
    </row>
    <row r="66" spans="1:16">
      <c r="A66" s="52">
        <v>2027</v>
      </c>
      <c r="B66" s="54" t="s">
        <v>22</v>
      </c>
      <c r="C66" s="61"/>
      <c r="D66" s="64"/>
      <c r="E66" s="61"/>
      <c r="F66" s="64"/>
      <c r="G66" s="61"/>
      <c r="H66" s="64"/>
      <c r="I66" s="61"/>
      <c r="J66" s="64"/>
      <c r="K66" s="65"/>
      <c r="L66" s="64"/>
      <c r="M66" s="48"/>
      <c r="N66" s="64"/>
      <c r="O66" s="65"/>
      <c r="P66" s="92"/>
    </row>
    <row r="67" spans="1:16">
      <c r="A67" s="52">
        <v>2027</v>
      </c>
      <c r="B67" s="54" t="s">
        <v>23</v>
      </c>
      <c r="C67" s="61"/>
      <c r="D67" s="64"/>
      <c r="E67" s="61"/>
      <c r="F67" s="64"/>
      <c r="G67" s="61"/>
      <c r="H67" s="64"/>
      <c r="I67" s="61"/>
      <c r="J67" s="64"/>
      <c r="K67" s="65"/>
      <c r="L67" s="64"/>
      <c r="M67" s="48"/>
      <c r="N67" s="64"/>
      <c r="O67" s="65"/>
      <c r="P67" s="92"/>
    </row>
    <row r="68" spans="1:16">
      <c r="A68" s="52">
        <v>2027</v>
      </c>
      <c r="B68" s="54" t="s">
        <v>24</v>
      </c>
      <c r="C68" s="61"/>
      <c r="D68" s="64"/>
      <c r="E68" s="61"/>
      <c r="F68" s="64"/>
      <c r="G68" s="61"/>
      <c r="H68" s="64"/>
      <c r="I68" s="61"/>
      <c r="J68" s="64"/>
      <c r="K68" s="65"/>
      <c r="L68" s="64"/>
      <c r="M68" s="48"/>
      <c r="N68" s="64"/>
      <c r="O68" s="65"/>
      <c r="P68" s="92"/>
    </row>
    <row r="69" spans="1:16">
      <c r="A69" s="52">
        <v>2027</v>
      </c>
      <c r="B69" s="54" t="s">
        <v>25</v>
      </c>
      <c r="C69" s="61"/>
      <c r="D69" s="64"/>
      <c r="E69" s="61"/>
      <c r="F69" s="64"/>
      <c r="G69" s="61"/>
      <c r="H69" s="64"/>
      <c r="I69" s="61"/>
      <c r="J69" s="64"/>
      <c r="K69" s="65"/>
      <c r="L69" s="64"/>
      <c r="M69" s="48"/>
      <c r="N69" s="64"/>
      <c r="O69" s="65"/>
      <c r="P69" s="92"/>
    </row>
    <row r="70" spans="1:16">
      <c r="A70" s="52">
        <v>2027</v>
      </c>
      <c r="B70" s="54" t="s">
        <v>26</v>
      </c>
      <c r="C70" s="61"/>
      <c r="D70" s="64"/>
      <c r="E70" s="61"/>
      <c r="F70" s="64"/>
      <c r="G70" s="61"/>
      <c r="H70" s="64"/>
      <c r="I70" s="61"/>
      <c r="J70" s="64"/>
      <c r="K70" s="65"/>
      <c r="L70" s="64"/>
      <c r="M70" s="48"/>
      <c r="N70" s="64"/>
      <c r="O70" s="65"/>
      <c r="P70" s="92"/>
    </row>
    <row r="71" spans="1:16">
      <c r="A71" s="52">
        <v>2027</v>
      </c>
      <c r="B71" s="54" t="s">
        <v>27</v>
      </c>
      <c r="C71" s="61"/>
      <c r="D71" s="64"/>
      <c r="E71" s="61"/>
      <c r="F71" s="64"/>
      <c r="G71" s="61"/>
      <c r="H71" s="64"/>
      <c r="I71" s="61"/>
      <c r="J71" s="64"/>
      <c r="K71" s="65"/>
      <c r="L71" s="64"/>
      <c r="M71" s="48"/>
      <c r="N71" s="64"/>
      <c r="O71" s="65"/>
      <c r="P71" s="92"/>
    </row>
    <row r="72" spans="1:16">
      <c r="A72" s="52">
        <v>2027</v>
      </c>
      <c r="B72" s="54" t="s">
        <v>28</v>
      </c>
      <c r="C72" s="61"/>
      <c r="D72" s="64"/>
      <c r="E72" s="61"/>
      <c r="F72" s="64"/>
      <c r="G72" s="61"/>
      <c r="H72" s="64"/>
      <c r="I72" s="61"/>
      <c r="J72" s="64"/>
      <c r="K72" s="65"/>
      <c r="L72" s="64"/>
      <c r="M72" s="48"/>
      <c r="N72" s="64"/>
      <c r="O72" s="65"/>
      <c r="P72" s="92"/>
    </row>
    <row r="73" spans="1:16">
      <c r="A73" s="52">
        <v>2027</v>
      </c>
      <c r="B73" s="54" t="s">
        <v>29</v>
      </c>
      <c r="C73" s="61"/>
      <c r="D73" s="64"/>
      <c r="E73" s="61"/>
      <c r="F73" s="64"/>
      <c r="G73" s="61"/>
      <c r="H73" s="64"/>
      <c r="I73" s="61"/>
      <c r="J73" s="64"/>
      <c r="K73" s="65"/>
      <c r="L73" s="64"/>
      <c r="M73" s="48"/>
      <c r="N73" s="64"/>
      <c r="O73" s="65"/>
      <c r="P73" s="92"/>
    </row>
    <row r="74" spans="1:16">
      <c r="A74" s="52">
        <v>2027</v>
      </c>
      <c r="B74" s="54" t="s">
        <v>30</v>
      </c>
      <c r="C74" s="61"/>
      <c r="D74" s="64"/>
      <c r="E74" s="61"/>
      <c r="F74" s="64"/>
      <c r="G74" s="61"/>
      <c r="H74" s="64"/>
      <c r="I74" s="61"/>
      <c r="J74" s="64"/>
      <c r="K74" s="65"/>
      <c r="L74" s="64"/>
      <c r="M74" s="48"/>
      <c r="N74" s="64"/>
      <c r="O74" s="65"/>
      <c r="P74" s="92"/>
    </row>
    <row r="75" spans="1:16">
      <c r="A75" s="52">
        <v>2027</v>
      </c>
      <c r="B75" s="54" t="s">
        <v>31</v>
      </c>
      <c r="C75" s="61"/>
      <c r="D75" s="64"/>
      <c r="E75" s="61"/>
      <c r="F75" s="64"/>
      <c r="G75" s="61"/>
      <c r="H75" s="64"/>
      <c r="I75" s="61"/>
      <c r="J75" s="64"/>
      <c r="K75" s="65"/>
      <c r="L75" s="64"/>
      <c r="M75" s="48"/>
      <c r="N75" s="64"/>
      <c r="O75" s="65"/>
      <c r="P75" s="92"/>
    </row>
    <row r="76" spans="1:16" ht="15" thickBot="1">
      <c r="A76" s="78">
        <v>2027</v>
      </c>
      <c r="B76" s="79" t="s">
        <v>32</v>
      </c>
      <c r="C76" s="80"/>
      <c r="D76" s="81"/>
      <c r="E76" s="80"/>
      <c r="F76" s="81"/>
      <c r="G76" s="80"/>
      <c r="H76" s="81"/>
      <c r="I76" s="80"/>
      <c r="J76" s="81"/>
      <c r="K76" s="82"/>
      <c r="L76" s="81"/>
      <c r="M76" s="83"/>
      <c r="N76" s="81"/>
      <c r="O76" s="82"/>
      <c r="P76" s="93"/>
    </row>
    <row r="77" spans="1:16">
      <c r="A77" s="84">
        <v>2028</v>
      </c>
      <c r="B77" s="85" t="s">
        <v>21</v>
      </c>
      <c r="C77" s="86"/>
      <c r="D77" s="87"/>
      <c r="E77" s="86"/>
      <c r="F77" s="87"/>
      <c r="G77" s="86"/>
      <c r="H77" s="87"/>
      <c r="I77" s="86"/>
      <c r="J77" s="87"/>
      <c r="K77" s="88"/>
      <c r="L77" s="87"/>
      <c r="M77" s="89"/>
      <c r="N77" s="87"/>
      <c r="O77" s="88"/>
      <c r="P77" s="94"/>
    </row>
    <row r="78" spans="1:16">
      <c r="A78" s="52">
        <v>2028</v>
      </c>
      <c r="B78" s="54" t="s">
        <v>22</v>
      </c>
      <c r="C78" s="61"/>
      <c r="D78" s="64"/>
      <c r="E78" s="61"/>
      <c r="F78" s="64"/>
      <c r="G78" s="61"/>
      <c r="H78" s="64"/>
      <c r="I78" s="61"/>
      <c r="J78" s="64"/>
      <c r="K78" s="65"/>
      <c r="L78" s="64"/>
      <c r="M78" s="48"/>
      <c r="N78" s="64"/>
      <c r="O78" s="65"/>
      <c r="P78" s="92"/>
    </row>
    <row r="79" spans="1:16">
      <c r="A79" s="52">
        <v>2028</v>
      </c>
      <c r="B79" s="54" t="s">
        <v>23</v>
      </c>
      <c r="C79" s="61"/>
      <c r="D79" s="64"/>
      <c r="E79" s="61"/>
      <c r="F79" s="64"/>
      <c r="G79" s="61"/>
      <c r="H79" s="64"/>
      <c r="I79" s="61"/>
      <c r="J79" s="64"/>
      <c r="K79" s="65"/>
      <c r="L79" s="64"/>
      <c r="M79" s="48"/>
      <c r="N79" s="64"/>
      <c r="O79" s="65"/>
      <c r="P79" s="92"/>
    </row>
    <row r="80" spans="1:16">
      <c r="A80" s="52">
        <v>2028</v>
      </c>
      <c r="B80" s="54" t="s">
        <v>24</v>
      </c>
      <c r="C80" s="61"/>
      <c r="D80" s="64"/>
      <c r="E80" s="61"/>
      <c r="F80" s="64"/>
      <c r="G80" s="61"/>
      <c r="H80" s="64"/>
      <c r="I80" s="61"/>
      <c r="J80" s="64"/>
      <c r="K80" s="65"/>
      <c r="L80" s="64"/>
      <c r="M80" s="48"/>
      <c r="N80" s="64"/>
      <c r="O80" s="65"/>
      <c r="P80" s="92"/>
    </row>
    <row r="81" spans="1:16">
      <c r="A81" s="52">
        <v>2028</v>
      </c>
      <c r="B81" s="54" t="s">
        <v>25</v>
      </c>
      <c r="C81" s="61"/>
      <c r="D81" s="64"/>
      <c r="E81" s="61"/>
      <c r="F81" s="64"/>
      <c r="G81" s="61"/>
      <c r="H81" s="64"/>
      <c r="I81" s="61"/>
      <c r="J81" s="64"/>
      <c r="K81" s="65"/>
      <c r="L81" s="64"/>
      <c r="M81" s="48"/>
      <c r="N81" s="64"/>
      <c r="O81" s="65"/>
      <c r="P81" s="92"/>
    </row>
    <row r="82" spans="1:16">
      <c r="A82" s="52">
        <v>2028</v>
      </c>
      <c r="B82" s="54" t="s">
        <v>26</v>
      </c>
      <c r="C82" s="61"/>
      <c r="D82" s="64"/>
      <c r="E82" s="61"/>
      <c r="F82" s="64"/>
      <c r="G82" s="61"/>
      <c r="H82" s="64"/>
      <c r="I82" s="61"/>
      <c r="J82" s="64"/>
      <c r="K82" s="65"/>
      <c r="L82" s="64"/>
      <c r="M82" s="48"/>
      <c r="N82" s="64"/>
      <c r="O82" s="65"/>
      <c r="P82" s="92"/>
    </row>
    <row r="83" spans="1:16">
      <c r="A83" s="52">
        <v>2028</v>
      </c>
      <c r="B83" s="54" t="s">
        <v>27</v>
      </c>
      <c r="C83" s="61"/>
      <c r="D83" s="64"/>
      <c r="E83" s="61"/>
      <c r="F83" s="64"/>
      <c r="G83" s="61"/>
      <c r="H83" s="64"/>
      <c r="I83" s="61"/>
      <c r="J83" s="64"/>
      <c r="K83" s="65"/>
      <c r="L83" s="64"/>
      <c r="M83" s="48"/>
      <c r="N83" s="64"/>
      <c r="O83" s="65"/>
      <c r="P83" s="92"/>
    </row>
    <row r="84" spans="1:16">
      <c r="A84" s="52">
        <v>2028</v>
      </c>
      <c r="B84" s="54" t="s">
        <v>28</v>
      </c>
      <c r="C84" s="61"/>
      <c r="D84" s="64"/>
      <c r="E84" s="61"/>
      <c r="F84" s="64"/>
      <c r="G84" s="61"/>
      <c r="H84" s="64"/>
      <c r="I84" s="61"/>
      <c r="J84" s="64"/>
      <c r="K84" s="65"/>
      <c r="L84" s="64"/>
      <c r="M84" s="48"/>
      <c r="N84" s="64"/>
      <c r="O84" s="65"/>
      <c r="P84" s="92"/>
    </row>
    <row r="85" spans="1:16">
      <c r="A85" s="52">
        <v>2028</v>
      </c>
      <c r="B85" s="54" t="s">
        <v>29</v>
      </c>
      <c r="C85" s="61"/>
      <c r="D85" s="64"/>
      <c r="E85" s="61"/>
      <c r="F85" s="64"/>
      <c r="G85" s="61"/>
      <c r="H85" s="64"/>
      <c r="I85" s="61"/>
      <c r="J85" s="64"/>
      <c r="K85" s="65"/>
      <c r="L85" s="64"/>
      <c r="M85" s="48"/>
      <c r="N85" s="64"/>
      <c r="O85" s="65"/>
      <c r="P85" s="92"/>
    </row>
    <row r="86" spans="1:16">
      <c r="A86" s="52">
        <v>2028</v>
      </c>
      <c r="B86" s="54" t="s">
        <v>30</v>
      </c>
      <c r="C86" s="61"/>
      <c r="D86" s="64"/>
      <c r="E86" s="61"/>
      <c r="F86" s="64"/>
      <c r="G86" s="61"/>
      <c r="H86" s="64"/>
      <c r="I86" s="61"/>
      <c r="J86" s="64"/>
      <c r="K86" s="65"/>
      <c r="L86" s="64"/>
      <c r="M86" s="48"/>
      <c r="N86" s="64"/>
      <c r="O86" s="65"/>
      <c r="P86" s="92"/>
    </row>
    <row r="87" spans="1:16">
      <c r="A87" s="52">
        <v>2028</v>
      </c>
      <c r="B87" s="54" t="s">
        <v>31</v>
      </c>
      <c r="C87" s="61"/>
      <c r="D87" s="64"/>
      <c r="E87" s="61"/>
      <c r="F87" s="64"/>
      <c r="G87" s="61"/>
      <c r="H87" s="64"/>
      <c r="I87" s="61"/>
      <c r="J87" s="64"/>
      <c r="K87" s="65"/>
      <c r="L87" s="64"/>
      <c r="M87" s="48"/>
      <c r="N87" s="64"/>
      <c r="O87" s="65"/>
      <c r="P87" s="92"/>
    </row>
    <row r="88" spans="1:16">
      <c r="A88" s="52">
        <v>2028</v>
      </c>
      <c r="B88" s="54" t="s">
        <v>32</v>
      </c>
      <c r="C88" s="61"/>
      <c r="D88" s="64"/>
      <c r="E88" s="61"/>
      <c r="F88" s="64"/>
      <c r="G88" s="61"/>
      <c r="H88" s="64"/>
      <c r="I88" s="61"/>
      <c r="J88" s="64"/>
      <c r="K88" s="65"/>
      <c r="L88" s="64"/>
      <c r="M88" s="48"/>
      <c r="N88" s="64"/>
      <c r="O88" s="65"/>
      <c r="P88" s="92"/>
    </row>
    <row r="89" spans="1:16" ht="15" thickBot="1">
      <c r="A89" s="78">
        <v>2029</v>
      </c>
      <c r="B89" s="79" t="s">
        <v>21</v>
      </c>
      <c r="C89" s="80"/>
      <c r="D89" s="81"/>
      <c r="E89" s="80"/>
      <c r="F89" s="81"/>
      <c r="G89" s="80"/>
      <c r="H89" s="81"/>
      <c r="I89" s="80"/>
      <c r="J89" s="81"/>
      <c r="K89" s="82"/>
      <c r="L89" s="81"/>
      <c r="M89" s="83"/>
      <c r="N89" s="81"/>
      <c r="O89" s="82"/>
      <c r="P89" s="93"/>
    </row>
    <row r="90" spans="1:16">
      <c r="A90" s="84">
        <v>2029</v>
      </c>
      <c r="B90" s="85" t="s">
        <v>22</v>
      </c>
      <c r="C90" s="86"/>
      <c r="D90" s="87"/>
      <c r="E90" s="86"/>
      <c r="F90" s="87"/>
      <c r="G90" s="86"/>
      <c r="H90" s="87"/>
      <c r="I90" s="86"/>
      <c r="J90" s="87"/>
      <c r="K90" s="88"/>
      <c r="L90" s="87"/>
      <c r="M90" s="89"/>
      <c r="N90" s="87"/>
      <c r="O90" s="88"/>
      <c r="P90" s="94"/>
    </row>
    <row r="91" spans="1:16">
      <c r="A91" s="52">
        <v>2029</v>
      </c>
      <c r="B91" s="54" t="s">
        <v>23</v>
      </c>
      <c r="C91" s="61"/>
      <c r="D91" s="64"/>
      <c r="E91" s="61"/>
      <c r="F91" s="64"/>
      <c r="G91" s="61"/>
      <c r="H91" s="64"/>
      <c r="I91" s="61"/>
      <c r="J91" s="64"/>
      <c r="K91" s="65"/>
      <c r="L91" s="64"/>
      <c r="M91" s="48"/>
      <c r="N91" s="64"/>
      <c r="O91" s="65"/>
      <c r="P91" s="92"/>
    </row>
    <row r="92" spans="1:16">
      <c r="A92" s="52">
        <v>2029</v>
      </c>
      <c r="B92" s="54" t="s">
        <v>24</v>
      </c>
      <c r="C92" s="61"/>
      <c r="D92" s="64"/>
      <c r="E92" s="61"/>
      <c r="F92" s="64"/>
      <c r="G92" s="61"/>
      <c r="H92" s="64"/>
      <c r="I92" s="61"/>
      <c r="J92" s="64"/>
      <c r="K92" s="65"/>
      <c r="L92" s="64"/>
      <c r="M92" s="48"/>
      <c r="N92" s="64"/>
      <c r="O92" s="65"/>
      <c r="P92" s="92"/>
    </row>
    <row r="93" spans="1:16">
      <c r="A93" s="52">
        <v>2029</v>
      </c>
      <c r="B93" s="54" t="s">
        <v>25</v>
      </c>
      <c r="C93" s="61"/>
      <c r="D93" s="64"/>
      <c r="E93" s="61"/>
      <c r="F93" s="64"/>
      <c r="G93" s="61"/>
      <c r="H93" s="64"/>
      <c r="I93" s="61"/>
      <c r="J93" s="64"/>
      <c r="K93" s="65"/>
      <c r="L93" s="64"/>
      <c r="M93" s="48"/>
      <c r="N93" s="64"/>
      <c r="O93" s="65"/>
      <c r="P93" s="92"/>
    </row>
    <row r="94" spans="1:16">
      <c r="A94" s="52">
        <v>2029</v>
      </c>
      <c r="B94" s="54" t="s">
        <v>26</v>
      </c>
      <c r="C94" s="61"/>
      <c r="D94" s="64"/>
      <c r="E94" s="61"/>
      <c r="F94" s="64"/>
      <c r="G94" s="61"/>
      <c r="H94" s="64"/>
      <c r="I94" s="61"/>
      <c r="J94" s="64"/>
      <c r="K94" s="65"/>
      <c r="L94" s="64"/>
      <c r="M94" s="48"/>
      <c r="N94" s="64"/>
      <c r="O94" s="65"/>
      <c r="P94" s="92"/>
    </row>
    <row r="95" spans="1:16">
      <c r="A95" s="52">
        <v>2029</v>
      </c>
      <c r="B95" s="54" t="s">
        <v>27</v>
      </c>
      <c r="C95" s="61"/>
      <c r="D95" s="64"/>
      <c r="E95" s="61"/>
      <c r="F95" s="64"/>
      <c r="G95" s="61"/>
      <c r="H95" s="64"/>
      <c r="I95" s="61"/>
      <c r="J95" s="64"/>
      <c r="K95" s="65"/>
      <c r="L95" s="64"/>
      <c r="M95" s="48"/>
      <c r="N95" s="64"/>
      <c r="O95" s="65"/>
      <c r="P95" s="92"/>
    </row>
    <row r="96" spans="1:16">
      <c r="A96" s="52">
        <v>2029</v>
      </c>
      <c r="B96" s="54" t="s">
        <v>28</v>
      </c>
      <c r="C96" s="61"/>
      <c r="D96" s="64"/>
      <c r="E96" s="61"/>
      <c r="F96" s="64"/>
      <c r="G96" s="61"/>
      <c r="H96" s="64"/>
      <c r="I96" s="61"/>
      <c r="J96" s="64"/>
      <c r="K96" s="65"/>
      <c r="L96" s="64"/>
      <c r="M96" s="48"/>
      <c r="N96" s="64"/>
      <c r="O96" s="65"/>
      <c r="P96" s="92"/>
    </row>
    <row r="97" spans="1:16">
      <c r="A97" s="52">
        <v>2029</v>
      </c>
      <c r="B97" s="54" t="s">
        <v>29</v>
      </c>
      <c r="C97" s="61"/>
      <c r="D97" s="64"/>
      <c r="E97" s="61"/>
      <c r="F97" s="64"/>
      <c r="G97" s="61"/>
      <c r="H97" s="64"/>
      <c r="I97" s="61"/>
      <c r="J97" s="64"/>
      <c r="K97" s="65"/>
      <c r="L97" s="64"/>
      <c r="M97" s="48"/>
      <c r="N97" s="64"/>
      <c r="O97" s="65"/>
      <c r="P97" s="92"/>
    </row>
    <row r="98" spans="1:16">
      <c r="A98" s="52">
        <v>2029</v>
      </c>
      <c r="B98" s="54" t="s">
        <v>30</v>
      </c>
      <c r="C98" s="61"/>
      <c r="D98" s="64"/>
      <c r="E98" s="61"/>
      <c r="F98" s="64"/>
      <c r="G98" s="61"/>
      <c r="H98" s="64"/>
      <c r="I98" s="61"/>
      <c r="J98" s="64"/>
      <c r="K98" s="65"/>
      <c r="L98" s="64"/>
      <c r="M98" s="48"/>
      <c r="N98" s="64"/>
      <c r="O98" s="65"/>
      <c r="P98" s="92"/>
    </row>
    <row r="99" spans="1:16">
      <c r="A99" s="52">
        <v>2029</v>
      </c>
      <c r="B99" s="54" t="s">
        <v>31</v>
      </c>
      <c r="C99" s="61"/>
      <c r="D99" s="64"/>
      <c r="E99" s="61"/>
      <c r="F99" s="64"/>
      <c r="G99" s="61"/>
      <c r="H99" s="64"/>
      <c r="I99" s="61"/>
      <c r="J99" s="64"/>
      <c r="K99" s="65"/>
      <c r="L99" s="64"/>
      <c r="M99" s="48"/>
      <c r="N99" s="64"/>
      <c r="O99" s="65"/>
      <c r="P99" s="92"/>
    </row>
    <row r="100" spans="1:16" ht="15" thickBot="1">
      <c r="A100" s="78">
        <v>2029</v>
      </c>
      <c r="B100" s="79" t="s">
        <v>32</v>
      </c>
      <c r="C100" s="80"/>
      <c r="D100" s="81"/>
      <c r="E100" s="80"/>
      <c r="F100" s="81"/>
      <c r="G100" s="80"/>
      <c r="H100" s="81"/>
      <c r="I100" s="80"/>
      <c r="J100" s="81"/>
      <c r="K100" s="82"/>
      <c r="L100" s="81"/>
      <c r="M100" s="83"/>
      <c r="N100" s="81"/>
      <c r="O100" s="82"/>
      <c r="P100" s="93"/>
    </row>
    <row r="101" spans="1:16">
      <c r="A101" s="84">
        <v>2030</v>
      </c>
      <c r="B101" s="85" t="s">
        <v>21</v>
      </c>
      <c r="C101" s="86"/>
      <c r="D101" s="87"/>
      <c r="E101" s="86"/>
      <c r="F101" s="87"/>
      <c r="G101" s="86"/>
      <c r="H101" s="87"/>
      <c r="I101" s="86"/>
      <c r="J101" s="87"/>
      <c r="K101" s="88"/>
      <c r="L101" s="87"/>
      <c r="M101" s="89"/>
      <c r="N101" s="87"/>
      <c r="O101" s="88"/>
      <c r="P101" s="94"/>
    </row>
    <row r="102" spans="1:16">
      <c r="A102" s="52">
        <v>2030</v>
      </c>
      <c r="B102" s="54" t="s">
        <v>22</v>
      </c>
      <c r="C102" s="61"/>
      <c r="D102" s="64"/>
      <c r="E102" s="61"/>
      <c r="F102" s="64"/>
      <c r="G102" s="61"/>
      <c r="H102" s="64"/>
      <c r="I102" s="61"/>
      <c r="J102" s="64"/>
      <c r="K102" s="65"/>
      <c r="L102" s="64"/>
      <c r="M102" s="48"/>
      <c r="N102" s="64"/>
      <c r="O102" s="65"/>
      <c r="P102" s="92"/>
    </row>
    <row r="103" spans="1:16">
      <c r="A103" s="52">
        <v>2030</v>
      </c>
      <c r="B103" s="54" t="s">
        <v>23</v>
      </c>
      <c r="C103" s="61"/>
      <c r="D103" s="64"/>
      <c r="E103" s="61"/>
      <c r="F103" s="64"/>
      <c r="G103" s="61"/>
      <c r="H103" s="64"/>
      <c r="I103" s="61"/>
      <c r="J103" s="64"/>
      <c r="K103" s="65"/>
      <c r="L103" s="64"/>
      <c r="M103" s="48"/>
      <c r="N103" s="64"/>
      <c r="O103" s="65"/>
      <c r="P103" s="92"/>
    </row>
    <row r="104" spans="1:16">
      <c r="A104" s="52">
        <v>2030</v>
      </c>
      <c r="B104" s="54" t="s">
        <v>24</v>
      </c>
      <c r="C104" s="61"/>
      <c r="D104" s="64"/>
      <c r="E104" s="61"/>
      <c r="F104" s="64"/>
      <c r="G104" s="61"/>
      <c r="H104" s="64"/>
      <c r="I104" s="61"/>
      <c r="J104" s="64"/>
      <c r="K104" s="65"/>
      <c r="L104" s="64"/>
      <c r="M104" s="48"/>
      <c r="N104" s="64"/>
      <c r="O104" s="65"/>
      <c r="P104" s="92"/>
    </row>
    <row r="105" spans="1:16">
      <c r="A105" s="52">
        <v>2030</v>
      </c>
      <c r="B105" s="54" t="s">
        <v>25</v>
      </c>
      <c r="C105" s="61"/>
      <c r="D105" s="64"/>
      <c r="E105" s="61"/>
      <c r="F105" s="64"/>
      <c r="G105" s="61"/>
      <c r="H105" s="64"/>
      <c r="I105" s="61"/>
      <c r="J105" s="64"/>
      <c r="K105" s="65"/>
      <c r="L105" s="64"/>
      <c r="M105" s="48"/>
      <c r="N105" s="64"/>
      <c r="O105" s="65"/>
      <c r="P105" s="92"/>
    </row>
    <row r="106" spans="1:16">
      <c r="A106" s="52">
        <v>2030</v>
      </c>
      <c r="B106" s="54" t="s">
        <v>26</v>
      </c>
      <c r="C106" s="61"/>
      <c r="D106" s="64"/>
      <c r="E106" s="61"/>
      <c r="F106" s="64"/>
      <c r="G106" s="61"/>
      <c r="H106" s="64"/>
      <c r="I106" s="61"/>
      <c r="J106" s="64"/>
      <c r="K106" s="65"/>
      <c r="L106" s="64"/>
      <c r="M106" s="48"/>
      <c r="N106" s="64"/>
      <c r="O106" s="65"/>
      <c r="P106" s="92"/>
    </row>
    <row r="107" spans="1:16">
      <c r="A107" s="52">
        <v>2030</v>
      </c>
      <c r="B107" s="54" t="s">
        <v>27</v>
      </c>
      <c r="C107" s="61"/>
      <c r="D107" s="64"/>
      <c r="E107" s="61"/>
      <c r="F107" s="64"/>
      <c r="G107" s="61"/>
      <c r="H107" s="64"/>
      <c r="I107" s="61"/>
      <c r="J107" s="64"/>
      <c r="K107" s="65"/>
      <c r="L107" s="64"/>
      <c r="M107" s="48"/>
      <c r="N107" s="64"/>
      <c r="O107" s="65"/>
      <c r="P107" s="92"/>
    </row>
    <row r="108" spans="1:16">
      <c r="A108" s="52">
        <v>2030</v>
      </c>
      <c r="B108" s="54" t="s">
        <v>28</v>
      </c>
      <c r="C108" s="61"/>
      <c r="D108" s="64"/>
      <c r="E108" s="61"/>
      <c r="F108" s="64"/>
      <c r="G108" s="61"/>
      <c r="H108" s="64"/>
      <c r="I108" s="61"/>
      <c r="J108" s="64"/>
      <c r="K108" s="65"/>
      <c r="L108" s="64"/>
      <c r="M108" s="48"/>
      <c r="N108" s="64"/>
      <c r="O108" s="65"/>
      <c r="P108" s="92"/>
    </row>
    <row r="109" spans="1:16">
      <c r="A109" s="52">
        <v>2030</v>
      </c>
      <c r="B109" s="54" t="s">
        <v>29</v>
      </c>
      <c r="C109" s="61"/>
      <c r="D109" s="64"/>
      <c r="E109" s="61"/>
      <c r="F109" s="64"/>
      <c r="G109" s="61"/>
      <c r="H109" s="64"/>
      <c r="I109" s="61"/>
      <c r="J109" s="64"/>
      <c r="K109" s="65"/>
      <c r="L109" s="64"/>
      <c r="M109" s="48"/>
      <c r="N109" s="64"/>
      <c r="O109" s="65"/>
      <c r="P109" s="92"/>
    </row>
    <row r="110" spans="1:16">
      <c r="A110" s="52">
        <v>2030</v>
      </c>
      <c r="B110" s="54" t="s">
        <v>30</v>
      </c>
      <c r="C110" s="61"/>
      <c r="D110" s="64"/>
      <c r="E110" s="61"/>
      <c r="F110" s="64"/>
      <c r="G110" s="61"/>
      <c r="H110" s="64"/>
      <c r="I110" s="61"/>
      <c r="J110" s="64"/>
      <c r="K110" s="65"/>
      <c r="L110" s="64"/>
      <c r="M110" s="48"/>
      <c r="N110" s="64"/>
      <c r="O110" s="65"/>
      <c r="P110" s="92"/>
    </row>
    <row r="111" spans="1:16">
      <c r="A111" s="52">
        <v>2030</v>
      </c>
      <c r="B111" s="54" t="s">
        <v>31</v>
      </c>
      <c r="C111" s="61"/>
      <c r="D111" s="64"/>
      <c r="E111" s="61"/>
      <c r="F111" s="64"/>
      <c r="G111" s="61"/>
      <c r="H111" s="64"/>
      <c r="I111" s="61"/>
      <c r="J111" s="64"/>
      <c r="K111" s="65"/>
      <c r="L111" s="64"/>
      <c r="M111" s="48"/>
      <c r="N111" s="64"/>
      <c r="O111" s="65"/>
      <c r="P111" s="92"/>
    </row>
    <row r="112" spans="1:16" ht="15" thickBot="1">
      <c r="A112" s="78">
        <v>2030</v>
      </c>
      <c r="B112" s="79" t="s">
        <v>32</v>
      </c>
      <c r="C112" s="80"/>
      <c r="D112" s="81"/>
      <c r="E112" s="80"/>
      <c r="F112" s="81"/>
      <c r="G112" s="80"/>
      <c r="H112" s="81"/>
      <c r="I112" s="80"/>
      <c r="J112" s="81"/>
      <c r="K112" s="82"/>
      <c r="L112" s="81"/>
      <c r="M112" s="83"/>
      <c r="N112" s="81"/>
      <c r="O112" s="82"/>
      <c r="P112" s="93"/>
    </row>
  </sheetData>
  <mergeCells count="4">
    <mergeCell ref="A3:B3"/>
    <mergeCell ref="C3:M3"/>
    <mergeCell ref="A1:P2"/>
    <mergeCell ref="N3:P3"/>
  </mergeCells>
  <pageMargins left="0.75" right="0.75" top="1" bottom="1" header="0.5" footer="0.5"/>
  <ignoredErrors>
    <ignoredError sqref="M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2026-06-11T11:29:27Z</dcterms:created>
  <dcterms:modified xsi:type="dcterms:W3CDTF">2026-06-13T15:19:59Z</dcterms:modified>
  <cp:category/>
  <cp:contentStatus/>
</cp:coreProperties>
</file>